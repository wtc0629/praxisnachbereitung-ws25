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004\Repo\praxisnachbereitung-ws25\excel\"/>
    </mc:Choice>
  </mc:AlternateContent>
  <xr:revisionPtr revIDLastSave="0" documentId="13_ncr:1_{8117F50A-2E9E-4E8E-8D56-9E269A9D0DA1}" xr6:coauthVersionLast="47" xr6:coauthVersionMax="47" xr10:uidLastSave="{00000000-0000-0000-0000-000000000000}"/>
  <bookViews>
    <workbookView xWindow="-110" yWindow="-110" windowWidth="25820" windowHeight="13900" activeTab="4" xr2:uid="{7A5C44E6-EF1D-4CFB-884E-408C4A997535}"/>
  </bookViews>
  <sheets>
    <sheet name="Ausreihen" sheetId="11" r:id="rId1"/>
    <sheet name="Geräte" sheetId="13" r:id="rId2"/>
    <sheet name="Mitarbeiter" sheetId="14" r:id="rId3"/>
    <sheet name="PivotTable" sheetId="17" r:id="rId4"/>
    <sheet name="Sheet2" sheetId="19" r:id="rId5"/>
    <sheet name="Gesamttabelle" sheetId="15" r:id="rId6"/>
    <sheet name="Laptop" sheetId="16" r:id="rId7"/>
  </sheets>
  <definedNames>
    <definedName name="ExternalData_1" localSheetId="0" hidden="1">Ausreihen!$A$1:$D$46</definedName>
    <definedName name="ExternalData_1" localSheetId="1" hidden="1">Geräte!$A$1:$F$36</definedName>
    <definedName name="ExternalData_1" localSheetId="5" hidden="1">Gesamttabelle!$A$1:$L$46</definedName>
    <definedName name="ExternalData_1" localSheetId="2" hidden="1">Mitarbeiter!$A$1:$D$13</definedName>
  </definedNames>
  <calcPr calcId="181029"/>
  <pivotCaches>
    <pivotCache cacheId="1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4943F-3575-462A-BCFE-FF8C5EFE12EE}" keepAlive="1" name="查询 - Ausleihen" description="与工作簿中“Ausleihen”查询的连接。" type="5" refreshedVersion="8" background="1" saveData="1">
    <dbPr connection="Provider=Microsoft.Mashup.OleDb.1;Data Source=$Workbook$;Location=Ausleihen;Extended Properties=&quot;&quot;" command="SELECT * FROM [Ausleihen]"/>
  </connection>
  <connection id="2" xr16:uid="{07FC8CE4-7F23-44A7-8F9F-A966C8D3AAA0}" keepAlive="1" name="查询 - Geraete" description="与工作簿中“Geraete”查询的连接。" type="5" refreshedVersion="8" background="1" saveData="1">
    <dbPr connection="Provider=Microsoft.Mashup.OleDb.1;Data Source=$Workbook$;Location=Geraete;Extended Properties=&quot;&quot;" command="SELECT * FROM [Geraete]"/>
  </connection>
  <connection id="3" xr16:uid="{434DD64C-2C0C-4CCD-88C1-0AD7D81999BD}" keepAlive="1" name="查询 - Gesamttabelle" description="与工作簿中“Gesamttabelle”查询的连接。" type="5" refreshedVersion="8" background="1" saveData="1">
    <dbPr connection="Provider=Microsoft.Mashup.OleDb.1;Data Source=$Workbook$;Location=Gesamttabelle;Extended Properties=&quot;&quot;" command="SELECT * FROM [Gesamttabelle]"/>
  </connection>
  <connection id="4" xr16:uid="{7467C60B-7708-4487-BC58-42257A381D21}" keepAlive="1" name="查询 - Mitarbeiter" description="与工作簿中“Mitarbeiter”查询的连接。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<sst xmlns="http://schemas.openxmlformats.org/spreadsheetml/2006/main" count="664" uniqueCount="93">
  <si>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</si>
  <si>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</si>
  <si>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</si>
  <si>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</si>
  <si>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</si>
  <si>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</si>
  <si>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</si>
  <si>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</si>
  <si>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</si>
  <si>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</si>
  <si>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</si>
  <si>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</si>
  <si>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</si>
  <si>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</si>
  <si>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</si>
  <si>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</si>
  <si>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</si>
  <si>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</si>
  <si>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</si>
  <si>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</si>
  <si>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</si>
  <si>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</si>
  <si>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</si>
  <si>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</si>
  <si>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</si>
  <si>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</si>
  <si>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</si>
  <si>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</si>
  <si>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</si>
  <si>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</si>
  <si>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</si>
  <si>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</si>
  <si>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</si>
  <si>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</si>
  <si>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</si>
  <si>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</si>
  <si>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</si>
  <si>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</si>
  <si>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</si>
  <si>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</si>
  <si>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</si>
  <si>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</si>
  <si>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</si>
  <si>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</si>
  <si>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</si>
  <si>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</si>
  <si>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</si>
  <si>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</si>
  <si>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</si>
  <si>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</si>
  <si>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</si>
  <si>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</si>
  <si>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</si>
  <si>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</si>
  <si>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</si>
  <si>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</si>
  <si>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</si>
  <si>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</si>
  <si>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</si>
  <si>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</si>
  <si>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</si>
  <si>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</si>
  <si>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</si>
  <si>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</si>
  <si>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</si>
  <si>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</si>
  <si>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</si>
  <si>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</si>
  <si>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</si>
  <si>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</si>
  <si>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</si>
  <si>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</si>
  <si>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</si>
  <si>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</si>
  <si>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</si>
  <si>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</si>
  <si>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</si>
  <si>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</si>
  <si>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</si>
  <si>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</si>
  <si>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</si>
  <si>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</si>
  <si>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</si>
  <si>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</si>
  <si>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</si>
  <si>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</si>
  <si>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Geräte_Standort</t>
  </si>
  <si>
    <t>Mitarbeiter_Standort</t>
  </si>
  <si>
    <t>Gesamtwert nicht im Einsatz</t>
    <phoneticPr fontId="2" type="noConversion"/>
  </si>
  <si>
    <t>Gesamt</t>
  </si>
  <si>
    <t>Anzahl der Geräte</t>
  </si>
  <si>
    <t>求和项:Netto-Kaufpreis</t>
  </si>
  <si>
    <t>(多项)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</si>
</sst>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dd\.mm\.yyyy;@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14" fontId="0" fillId="3" borderId="2" xfId="0" applyNumberFormat="1" applyFill="1" applyBorder="1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4">
    <dxf>
      <font>
        <b val="0"/>
      </font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[ELT.xlsx]PivotTable!数据透视表1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PivotTabel (4c)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F-4A8A-8E1F-2D395D73E680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F-4A8A-8E1F-2D395D73E680}"/>
            </c:ext>
          </c:extLst>
        </c:ser>
        <c:ser>
          <c:idx val="2"/>
          <c:order val="2"/>
          <c:tx>
            <c:strRef>
              <c:f>PivotTable!$D$3:$D$4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F-4A8A-8E1F-2D395D73E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579087"/>
        <c:axId val="525580047"/>
      </c:barChart>
      <c:catAx>
        <c:axId val="52557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5580047"/>
        <c:crosses val="autoZero"/>
        <c:auto val="1"/>
        <c:lblAlgn val="ctr"/>
        <c:lblOffset val="100"/>
        <c:noMultiLvlLbl val="0"/>
      </c:catAx>
      <c:valAx>
        <c:axId val="5255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557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[ELT.xlsx]PivotTable!数据透视表1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4-45F2-A257-FF5501414DCC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4-45F2-A257-FF5501414DCC}"/>
            </c:ext>
          </c:extLst>
        </c:ser>
        <c:ser>
          <c:idx val="2"/>
          <c:order val="2"/>
          <c:tx>
            <c:strRef>
              <c:f>PivotTable!$D$3:$D$4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64-45F2-A257-FF5501414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4741103"/>
        <c:axId val="444741583"/>
      </c:barChart>
      <c:catAx>
        <c:axId val="44474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741583"/>
        <c:crosses val="autoZero"/>
        <c:auto val="1"/>
        <c:lblAlgn val="ctr"/>
        <c:lblOffset val="100"/>
        <c:noMultiLvlLbl val="0"/>
      </c:catAx>
      <c:valAx>
        <c:axId val="44474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474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</xdr:row>
      <xdr:rowOff>28575</xdr:rowOff>
    </xdr:from>
    <xdr:to>
      <xdr:col>19</xdr:col>
      <xdr:colOff>209550</xdr:colOff>
      <xdr:row>16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8911F60-15F4-4D8B-29E3-C8224A955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13</xdr:row>
      <xdr:rowOff>85724</xdr:rowOff>
    </xdr:from>
    <xdr:to>
      <xdr:col>8</xdr:col>
      <xdr:colOff>19050</xdr:colOff>
      <xdr:row>30</xdr:row>
      <xdr:rowOff>139699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E75A44B-25CA-BFE9-F020-9FD977E8D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天成" refreshedDate="45969.647160763889" createdVersion="8" refreshedVersion="8" minRefreshableVersion="3" recordCount="45" xr:uid="{D2524C67-4D19-428A-A83D-2A74943DF71B}">
  <cacheSource type="worksheet">
    <worksheetSource name="Gesamttabelle"/>
  </cacheSource>
  <cacheFields count="13">
    <cacheField name="Gerätenummer" numFmtId="0">
      <sharedItems/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 count="30">
        <m/>
        <d v="2025-06-09T00:00:00"/>
        <d v="2025-09-08T00:00:00"/>
        <d v="2025-05-31T00:00:00"/>
        <d v="2025-10-05T00:00:00"/>
        <d v="2025-07-30T00:00:00"/>
        <d v="2025-09-22T00:00:00"/>
        <d v="2025-06-10T00:00:00"/>
        <d v="2025-07-15T00:00:00"/>
        <d v="2025-07-16T00:00:00"/>
        <d v="2025-08-29T00:00:00"/>
        <d v="2025-03-16T00:00:00"/>
        <d v="2024-12-04T00:00:00"/>
        <d v="2024-06-27T00:00:00"/>
        <d v="2025-02-26T00:00:00"/>
        <d v="2025-10-04T00:00:00"/>
        <d v="2025-08-17T00:00:00"/>
        <d v="2025-09-30T00:00:00"/>
        <d v="2025-01-06T00:00:00"/>
        <d v="2024-11-27T00:00:00"/>
        <d v="2025-07-01T00:00:00"/>
        <d v="2025-09-05T00:00:00"/>
        <d v="2024-09-24T00:00:00"/>
        <d v="2025-08-02T00:00:00"/>
        <d v="2025-03-03T00:00:00"/>
        <d v="2025-08-12T00:00:00"/>
        <d v="2025-05-07T00:00:00"/>
        <d v="2025-09-25T00:00:00"/>
        <d v="2025-07-08T00:00:00"/>
        <d v="2025-10-02T00:00:00"/>
      </sharedItems>
    </cacheField>
    <cacheField name="Gerätetyp" numFmtId="0">
      <sharedItems count="6">
        <s v="Beamer"/>
        <s v="Drucker"/>
        <s v="Laptop"/>
        <s v="Monitor"/>
        <s v="Smartphone"/>
        <s v="Tablet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/>
    </cacheField>
    <cacheField name="Netto-Kaufpreis" numFmtId="0">
      <sharedItems containsSemiMixedTypes="0" containsString="0" containsNumber="1" minValue="501.64" maxValue="1898.65"/>
    </cacheField>
    <cacheField name="Geräte_Standort" numFmtId="0">
      <sharedItems count="3">
        <s v="Berlin"/>
        <s v="München"/>
        <s v="Hamburg"/>
      </sharedItems>
    </cacheField>
    <cacheField name="Name" numFmtId="0">
      <sharedItems/>
    </cacheField>
    <cacheField name="Abteilung" numFmtId="0">
      <sharedItems/>
    </cacheField>
    <cacheField name="Mitarbeiter_Standort" numFmtId="0">
      <sharedItems/>
    </cacheField>
    <cacheField name="Gesamtwert nicht im Einsatz" numFmtId="0">
      <sharedItems containsString="0" containsBlank="1" containsNumber="1" minValue="14460.649999999998" maxValue="14460.64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35"/>
    <n v="1009"/>
    <d v="2024-05-09T00:00:00"/>
    <x v="0"/>
    <x v="0"/>
    <s v="BenQ MW550"/>
    <d v="2024-01-03T00:00:00"/>
    <n v="644.54"/>
    <x v="0"/>
    <s v="Univ.Prof. Heimo Karge"/>
    <s v="Marketing"/>
    <s v="Hamburg"/>
    <n v="14460.649999999998"/>
  </r>
  <r>
    <s v="G0005"/>
    <n v="1009"/>
    <d v="2024-04-07T00:00:00"/>
    <x v="0"/>
    <x v="1"/>
    <s v="Canon Pixma"/>
    <d v="2021-11-03T00:00:00"/>
    <n v="823.23"/>
    <x v="0"/>
    <s v="Univ.Prof. Heimo Karge"/>
    <s v="Marketing"/>
    <s v="Hamburg"/>
    <m/>
  </r>
  <r>
    <s v="G0035"/>
    <n v="1001"/>
    <d v="2024-01-06T00:00:00"/>
    <x v="0"/>
    <x v="0"/>
    <s v="BenQ MW550"/>
    <d v="2024-01-03T00:00:00"/>
    <n v="644.54"/>
    <x v="0"/>
    <s v="Aleksandr Weinhage"/>
    <s v="IT"/>
    <s v="Berlin"/>
    <m/>
  </r>
  <r>
    <s v="G0035"/>
    <n v="1003"/>
    <d v="2024-05-05T00:00:00"/>
    <x v="0"/>
    <x v="0"/>
    <s v="BenQ MW550"/>
    <d v="2024-01-03T00:00:00"/>
    <n v="644.54"/>
    <x v="0"/>
    <s v="Paul Dobes-Stiffel"/>
    <s v="Produktion"/>
    <s v="Hamburg"/>
    <m/>
  </r>
  <r>
    <s v="G0016"/>
    <n v="1003"/>
    <d v="2024-02-08T00:00:00"/>
    <x v="1"/>
    <x v="1"/>
    <s v="Canon Pixma"/>
    <d v="2023-03-30T00:00:00"/>
    <n v="1501.06"/>
    <x v="0"/>
    <s v="Paul Dobes-Stiffel"/>
    <s v="Produktion"/>
    <s v="Hamburg"/>
    <m/>
  </r>
  <r>
    <s v="G0004"/>
    <n v="1003"/>
    <d v="2025-06-19T00:00:00"/>
    <x v="2"/>
    <x v="2"/>
    <s v="Dell XPS"/>
    <d v="2025-05-05T00:00:00"/>
    <n v="1007.88"/>
    <x v="1"/>
    <s v="Paul Dobes-Stiffel"/>
    <s v="Produktion"/>
    <s v="Hamburg"/>
    <m/>
  </r>
  <r>
    <s v="G0016"/>
    <n v="1002"/>
    <d v="2025-05-22T00:00:00"/>
    <x v="3"/>
    <x v="1"/>
    <s v="Canon Pixma"/>
    <d v="2023-03-30T00:00:00"/>
    <n v="1501.06"/>
    <x v="0"/>
    <s v="Eleni Hauffer"/>
    <s v="IT"/>
    <s v="Berlin"/>
    <m/>
  </r>
  <r>
    <s v="G0021"/>
    <n v="1008"/>
    <d v="2025-09-30T00:00:00"/>
    <x v="4"/>
    <x v="3"/>
    <s v="Samsung Curved"/>
    <d v="2023-02-22T00:00:00"/>
    <n v="1134.1600000000001"/>
    <x v="1"/>
    <s v="Dipl.-Ing. Klaus-Werner Holsten B.Sc."/>
    <s v="IT"/>
    <s v="Hamburg"/>
    <m/>
  </r>
  <r>
    <s v="G0024"/>
    <n v="1008"/>
    <d v="2024-03-24T00:00:00"/>
    <x v="0"/>
    <x v="3"/>
    <s v="Dell UltraSharp"/>
    <d v="2022-03-01T00:00:00"/>
    <n v="750.91"/>
    <x v="0"/>
    <s v="Dipl.-Ing. Klaus-Werner Holsten B.Sc."/>
    <s v="IT"/>
    <s v="Hamburg"/>
    <m/>
  </r>
  <r>
    <s v="G0024"/>
    <n v="1005"/>
    <d v="2025-03-27T00:00:00"/>
    <x v="5"/>
    <x v="3"/>
    <s v="Dell UltraSharp"/>
    <d v="2022-03-01T00:00:00"/>
    <n v="750.91"/>
    <x v="0"/>
    <s v="Alexandre Davids"/>
    <s v="Vertrieb"/>
    <s v="Berlin"/>
    <m/>
  </r>
  <r>
    <s v="G0005"/>
    <n v="1006"/>
    <d v="2025-08-23T00:00:00"/>
    <x v="6"/>
    <x v="1"/>
    <s v="Canon Pixma"/>
    <d v="2021-11-03T00:00:00"/>
    <n v="823.23"/>
    <x v="0"/>
    <s v="Eric Patberg B.Sc."/>
    <s v="Vertrieb"/>
    <s v="Hamburg"/>
    <m/>
  </r>
  <r>
    <s v="G0016"/>
    <n v="1010"/>
    <d v="2025-07-28T00:00:00"/>
    <x v="0"/>
    <x v="1"/>
    <s v="Canon Pixma"/>
    <d v="2023-03-30T00:00:00"/>
    <n v="1501.06"/>
    <x v="0"/>
    <s v="Carolin Hande"/>
    <s v="IT"/>
    <s v="Hamburg"/>
    <m/>
  </r>
  <r>
    <s v="G0006"/>
    <n v="1012"/>
    <d v="2025-05-31T00:00:00"/>
    <x v="7"/>
    <x v="4"/>
    <s v="Samsung S21"/>
    <d v="2024-01-01T00:00:00"/>
    <n v="1257.96"/>
    <x v="1"/>
    <s v="Ariane Klemt-Kaul"/>
    <s v="IT"/>
    <s v="München"/>
    <m/>
  </r>
  <r>
    <s v="G0005"/>
    <n v="1012"/>
    <d v="2024-11-03T00:00:00"/>
    <x v="0"/>
    <x v="1"/>
    <s v="Canon Pixma"/>
    <d v="2021-11-03T00:00:00"/>
    <n v="823.23"/>
    <x v="0"/>
    <s v="Ariane Klemt-Kaul"/>
    <s v="IT"/>
    <s v="München"/>
    <m/>
  </r>
  <r>
    <s v="G0009"/>
    <n v="1011"/>
    <d v="2025-07-12T00:00:00"/>
    <x v="8"/>
    <x v="2"/>
    <s v="Dell XPS"/>
    <d v="2023-04-10T00:00:00"/>
    <n v="1458.02"/>
    <x v="1"/>
    <s v="Auguste Davids"/>
    <s v="IT"/>
    <s v="Hamburg"/>
    <m/>
  </r>
  <r>
    <s v="G0007"/>
    <n v="1001"/>
    <d v="2024-09-09T00:00:00"/>
    <x v="9"/>
    <x v="2"/>
    <s v="Lenovo ThinkPad"/>
    <d v="2021-06-13T00:00:00"/>
    <n v="869.09"/>
    <x v="2"/>
    <s v="Aleksandr Weinhage"/>
    <s v="IT"/>
    <s v="Berlin"/>
    <m/>
  </r>
  <r>
    <s v="G0007"/>
    <n v="1001"/>
    <d v="2025-08-11T00:00:00"/>
    <x v="0"/>
    <x v="2"/>
    <s v="Lenovo ThinkPad"/>
    <d v="2021-06-13T00:00:00"/>
    <n v="869.09"/>
    <x v="2"/>
    <s v="Aleksandr Weinhage"/>
    <s v="IT"/>
    <s v="Berlin"/>
    <m/>
  </r>
  <r>
    <s v="G0011"/>
    <n v="1005"/>
    <d v="2025-06-29T00:00:00"/>
    <x v="10"/>
    <x v="1"/>
    <s v="Brother HL"/>
    <d v="2025-09-09T00:00:00"/>
    <n v="1417.1"/>
    <x v="1"/>
    <s v="Alexandre Davids"/>
    <s v="Vertrieb"/>
    <s v="Berlin"/>
    <m/>
  </r>
  <r>
    <s v="G0028"/>
    <n v="1004"/>
    <d v="2024-08-19T00:00:00"/>
    <x v="0"/>
    <x v="0"/>
    <s v="Epson EB"/>
    <d v="2023-01-19T00:00:00"/>
    <n v="1246.58"/>
    <x v="2"/>
    <s v="Klemens Löffler"/>
    <s v="Vertrieb"/>
    <s v="Hamburg"/>
    <m/>
  </r>
  <r>
    <s v="G0028"/>
    <n v="1006"/>
    <d v="2024-12-04T00:00:00"/>
    <x v="11"/>
    <x v="0"/>
    <s v="Epson EB"/>
    <d v="2023-01-19T00:00:00"/>
    <n v="1246.58"/>
    <x v="2"/>
    <s v="Eric Patberg B.Sc."/>
    <s v="Vertrieb"/>
    <s v="Hamburg"/>
    <m/>
  </r>
  <r>
    <s v="G0028"/>
    <n v="1003"/>
    <d v="2024-10-30T00:00:00"/>
    <x v="12"/>
    <x v="0"/>
    <s v="Epson EB"/>
    <d v="2023-01-19T00:00:00"/>
    <n v="1246.58"/>
    <x v="2"/>
    <s v="Paul Dobes-Stiffel"/>
    <s v="Produktion"/>
    <s v="Hamburg"/>
    <m/>
  </r>
  <r>
    <s v="G0013"/>
    <n v="1012"/>
    <d v="2024-05-07T00:00:00"/>
    <x v="13"/>
    <x v="1"/>
    <s v="Canon Pixma"/>
    <d v="2021-05-16T00:00:00"/>
    <n v="1898.65"/>
    <x v="2"/>
    <s v="Ariane Klemt-Kaul"/>
    <s v="IT"/>
    <s v="München"/>
    <m/>
  </r>
  <r>
    <s v="G0013"/>
    <n v="1009"/>
    <d v="2024-01-28T00:00:00"/>
    <x v="14"/>
    <x v="1"/>
    <s v="Canon Pixma"/>
    <d v="2021-05-16T00:00:00"/>
    <n v="1898.65"/>
    <x v="2"/>
    <s v="Univ.Prof. Heimo Karge"/>
    <s v="Marketing"/>
    <s v="Hamburg"/>
    <m/>
  </r>
  <r>
    <s v="G0029"/>
    <n v="1002"/>
    <d v="2025-09-21T00:00:00"/>
    <x v="15"/>
    <x v="2"/>
    <s v="Lenovo ThinkPad"/>
    <d v="2021-05-21T00:00:00"/>
    <n v="1553.15"/>
    <x v="2"/>
    <s v="Eleni Hauffer"/>
    <s v="IT"/>
    <s v="Berlin"/>
    <m/>
  </r>
  <r>
    <s v="G0015"/>
    <n v="1010"/>
    <d v="2024-03-26T00:00:00"/>
    <x v="16"/>
    <x v="4"/>
    <s v="iPhone 13"/>
    <d v="2022-09-20T00:00:00"/>
    <n v="661.44"/>
    <x v="1"/>
    <s v="Carolin Hande"/>
    <s v="IT"/>
    <s v="Hamburg"/>
    <m/>
  </r>
  <r>
    <s v="G0015"/>
    <n v="1002"/>
    <d v="2024-08-15T00:00:00"/>
    <x v="0"/>
    <x v="4"/>
    <s v="iPhone 13"/>
    <d v="2022-09-20T00:00:00"/>
    <n v="661.44"/>
    <x v="1"/>
    <s v="Eleni Hauffer"/>
    <s v="IT"/>
    <s v="Berlin"/>
    <m/>
  </r>
  <r>
    <s v="G0022"/>
    <n v="1002"/>
    <d v="2025-08-30T00:00:00"/>
    <x v="17"/>
    <x v="5"/>
    <s v="iPad"/>
    <d v="2024-08-20T00:00:00"/>
    <n v="1591.98"/>
    <x v="2"/>
    <s v="Eleni Hauffer"/>
    <s v="IT"/>
    <s v="Berlin"/>
    <m/>
  </r>
  <r>
    <s v="G0022"/>
    <n v="1002"/>
    <d v="2024-07-20T00:00:00"/>
    <x v="18"/>
    <x v="5"/>
    <s v="iPad"/>
    <d v="2024-08-20T00:00:00"/>
    <n v="1591.98"/>
    <x v="2"/>
    <s v="Eleni Hauffer"/>
    <s v="IT"/>
    <s v="Berlin"/>
    <m/>
  </r>
  <r>
    <s v="G0018"/>
    <n v="1011"/>
    <d v="2024-10-03T00:00:00"/>
    <x v="19"/>
    <x v="5"/>
    <s v="iPad"/>
    <d v="2022-10-05T00:00:00"/>
    <n v="1688.07"/>
    <x v="1"/>
    <s v="Auguste Davids"/>
    <s v="IT"/>
    <s v="Hamburg"/>
    <m/>
  </r>
  <r>
    <s v="G0031"/>
    <n v="1004"/>
    <d v="2024-01-29T00:00:00"/>
    <x v="0"/>
    <x v="2"/>
    <s v="HP EliteBook"/>
    <d v="2025-04-28T00:00:00"/>
    <n v="1095.6199999999999"/>
    <x v="1"/>
    <s v="Klemens Löffler"/>
    <s v="Vertrieb"/>
    <s v="Hamburg"/>
    <m/>
  </r>
  <r>
    <s v="G0031"/>
    <n v="1004"/>
    <d v="2024-02-14T00:00:00"/>
    <x v="0"/>
    <x v="2"/>
    <s v="HP EliteBook"/>
    <d v="2025-04-28T00:00:00"/>
    <n v="1095.6199999999999"/>
    <x v="1"/>
    <s v="Klemens Löffler"/>
    <s v="Vertrieb"/>
    <s v="Hamburg"/>
    <m/>
  </r>
  <r>
    <s v="G0027"/>
    <n v="1004"/>
    <d v="2024-04-21T00:00:00"/>
    <x v="20"/>
    <x v="3"/>
    <s v="Samsung Curved"/>
    <d v="2022-07-24T00:00:00"/>
    <n v="501.64"/>
    <x v="1"/>
    <s v="Klemens Löffler"/>
    <s v="Vertrieb"/>
    <s v="Hamburg"/>
    <m/>
  </r>
  <r>
    <s v="G0030"/>
    <n v="1012"/>
    <d v="2025-05-15T00:00:00"/>
    <x v="21"/>
    <x v="0"/>
    <s v="Epson EB"/>
    <d v="2022-03-27T00:00:00"/>
    <n v="1629.76"/>
    <x v="1"/>
    <s v="Ariane Klemt-Kaul"/>
    <s v="IT"/>
    <s v="München"/>
    <m/>
  </r>
  <r>
    <s v="G0030"/>
    <n v="1005"/>
    <d v="2023-12-01T00:00:00"/>
    <x v="22"/>
    <x v="0"/>
    <s v="Epson EB"/>
    <d v="2022-03-27T00:00:00"/>
    <n v="1629.76"/>
    <x v="1"/>
    <s v="Alexandre Davids"/>
    <s v="Vertrieb"/>
    <s v="Berlin"/>
    <m/>
  </r>
  <r>
    <s v="G0025"/>
    <n v="1005"/>
    <d v="2025-01-18T00:00:00"/>
    <x v="0"/>
    <x v="0"/>
    <s v="Epson EB"/>
    <d v="2023-12-06T00:00:00"/>
    <n v="545.46"/>
    <x v="0"/>
    <s v="Alexandre Davids"/>
    <s v="Vertrieb"/>
    <s v="Berlin"/>
    <m/>
  </r>
  <r>
    <s v="G0032"/>
    <n v="1003"/>
    <d v="2024-08-04T00:00:00"/>
    <x v="23"/>
    <x v="2"/>
    <s v="Lenovo ThinkPad"/>
    <d v="2022-11-11T00:00:00"/>
    <n v="1801.36"/>
    <x v="1"/>
    <s v="Paul Dobes-Stiffel"/>
    <s v="Produktion"/>
    <s v="Hamburg"/>
    <m/>
  </r>
  <r>
    <s v="G0014"/>
    <n v="1001"/>
    <d v="2024-11-26T00:00:00"/>
    <x v="24"/>
    <x v="2"/>
    <s v="Lenovo ThinkPad"/>
    <d v="2021-03-03T00:00:00"/>
    <n v="1415.97"/>
    <x v="2"/>
    <s v="Aleksandr Weinhage"/>
    <s v="IT"/>
    <s v="Berlin"/>
    <m/>
  </r>
  <r>
    <s v="G0035"/>
    <n v="1001"/>
    <d v="2024-12-15T00:00:00"/>
    <x v="0"/>
    <x v="0"/>
    <s v="BenQ MW550"/>
    <d v="2024-01-03T00:00:00"/>
    <n v="644.54"/>
    <x v="0"/>
    <s v="Aleksandr Weinhage"/>
    <s v="IT"/>
    <s v="Berlin"/>
    <m/>
  </r>
  <r>
    <s v="G0004"/>
    <n v="1001"/>
    <d v="2025-08-11T00:00:00"/>
    <x v="25"/>
    <x v="2"/>
    <s v="Dell XPS"/>
    <d v="2025-05-05T00:00:00"/>
    <n v="1007.88"/>
    <x v="1"/>
    <s v="Aleksandr Weinhage"/>
    <s v="IT"/>
    <s v="Berlin"/>
    <m/>
  </r>
  <r>
    <s v="G0033"/>
    <n v="1009"/>
    <d v="2025-03-24T00:00:00"/>
    <x v="26"/>
    <x v="0"/>
    <s v="BenQ MW550"/>
    <d v="2022-03-03T00:00:00"/>
    <n v="1212.29"/>
    <x v="0"/>
    <s v="Univ.Prof. Heimo Karge"/>
    <s v="Marketing"/>
    <s v="Hamburg"/>
    <m/>
  </r>
  <r>
    <s v="G0033"/>
    <n v="1002"/>
    <d v="2025-03-25T00:00:00"/>
    <x v="0"/>
    <x v="0"/>
    <s v="BenQ MW550"/>
    <d v="2022-03-03T00:00:00"/>
    <n v="1212.29"/>
    <x v="0"/>
    <s v="Eleni Hauffer"/>
    <s v="IT"/>
    <s v="Berlin"/>
    <m/>
  </r>
  <r>
    <s v="G0005"/>
    <n v="1010"/>
    <d v="2025-08-30T00:00:00"/>
    <x v="27"/>
    <x v="1"/>
    <s v="Canon Pixma"/>
    <d v="2021-11-03T00:00:00"/>
    <n v="823.23"/>
    <x v="0"/>
    <s v="Carolin Hande"/>
    <s v="IT"/>
    <s v="Hamburg"/>
    <m/>
  </r>
  <r>
    <s v="G0016"/>
    <n v="1007"/>
    <d v="2025-05-18T00:00:00"/>
    <x v="28"/>
    <x v="1"/>
    <s v="Canon Pixma"/>
    <d v="2023-03-30T00:00:00"/>
    <n v="1501.06"/>
    <x v="0"/>
    <s v="Orhan Siering MBA."/>
    <s v="IT"/>
    <s v="Berlin"/>
    <m/>
  </r>
  <r>
    <s v="G0016"/>
    <n v="1010"/>
    <d v="2025-05-31T00:00:00"/>
    <x v="29"/>
    <x v="1"/>
    <s v="Canon Pixma"/>
    <d v="2023-03-30T00:00:00"/>
    <n v="1501.06"/>
    <x v="0"/>
    <s v="Carolin Hande"/>
    <s v="IT"/>
    <s v="Hamburg"/>
    <m/>
  </r>
  <r>
    <s v="G0006"/>
    <n v="1007"/>
    <d v="2024-07-03T00:00:00"/>
    <x v="0"/>
    <x v="4"/>
    <s v="Samsung S21"/>
    <d v="2024-01-01T00:00:00"/>
    <n v="1257.96"/>
    <x v="1"/>
    <s v="Orhan Siering MBA."/>
    <s v="IT"/>
    <s v="Berli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5E60D-7CA0-4A63-99FA-967448FD18B1}" name="数据透视表1" cacheId="18" applyNumberFormats="0" applyBorderFormats="0" applyFontFormats="0" applyPatternFormats="0" applyAlignmentFormats="0" applyWidthHeightFormats="1" dataCaption="值" grandTotalCaption="Gesamt" updatedVersion="8" minRefreshableVersion="3" useAutoFormatting="1" itemPrintTitles="1" createdVersion="8" indent="0" outline="1" outlineData="1" multipleFieldFilters="0" chartFormat="4" rowHeaderCaption="Gerätetyp" colHeaderCaption="Geräte_Standort">
  <location ref="A3:E11" firstHeaderRow="1" firstDataRow="2" firstDataCol="1"/>
  <pivotFields count="13">
    <pivotField dataField="1" showAll="0"/>
    <pivotField showAll="0"/>
    <pivotField numFmtId="14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der Geräte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59EAE-DEE6-4213-9655-42144A5D4B3D}" name="数据透视表2" cacheId="1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13">
    <pivotField showAll="0"/>
    <pivotField showAll="0"/>
    <pivotField numFmtId="14" showAll="0"/>
    <pivotField axis="axisPage" multipleItemSelectionAllowed="1" showAll="0">
      <items count="31">
        <item x="13"/>
        <item x="22"/>
        <item x="19"/>
        <item x="12"/>
        <item x="18"/>
        <item x="14"/>
        <item x="24"/>
        <item x="11"/>
        <item x="26"/>
        <item x="3"/>
        <item x="1"/>
        <item x="7"/>
        <item x="20"/>
        <item x="28"/>
        <item x="8"/>
        <item x="9"/>
        <item x="5"/>
        <item x="23"/>
        <item x="25"/>
        <item x="16"/>
        <item x="10"/>
        <item x="21"/>
        <item x="2"/>
        <item x="6"/>
        <item x="27"/>
        <item x="17"/>
        <item x="29"/>
        <item x="15"/>
        <item x="4"/>
        <item h="1" x="0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2">
    <pageField fld="3" hier="-1"/>
    <pageField fld="4" item="2" hier="-1"/>
  </pageFields>
  <dataFields count="1">
    <dataField name="求和项:Netto-Kaufprei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C059C4-E7BA-436A-A0CA-9BEDDDD60002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5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BB00FF-C426-4217-90B7-6D27AD075478}" autoFormatId="16" applyNumberFormats="0" applyBorderFormats="0" applyFontFormats="0" applyPatternFormats="0" applyAlignmentFormats="0" applyWidthHeightFormats="0">
  <queryTableRefresh nextId="8">
    <queryTableFields count="6">
      <queryTableField id="1" name="Gerätenummer" tableColumnId="7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5220C2-6546-49C0-8B6E-1458878901BF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5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1EAB69D-6B4E-4F01-B7FF-2BB9C9408E58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Gerätenummer" tableColumnId="13"/>
      <queryTableField id="2" name="Mitarbeiter-ID" tableColumnId="2"/>
      <queryTableField id="3" name="Ausgabe am" tableColumnId="3"/>
      <queryTableField id="4" name="Rückgabe am" tableColumnId="4"/>
      <queryTableField id="5" name="Gerätetyp" tableColumnId="5"/>
      <queryTableField id="6" name="Modell" tableColumnId="6"/>
      <queryTableField id="7" name="Kaufdatum" tableColumnId="7"/>
      <queryTableField id="8" name="Netto-Kaufpreis" tableColumnId="8"/>
      <queryTableField id="9" name="Geräte_Standort" tableColumnId="9"/>
      <queryTableField id="10" name="Name" tableColumnId="10"/>
      <queryTableField id="11" name="Abteilung" tableColumnId="11"/>
      <queryTableField id="12" name="Mitarbeiter_Standort" tableColumnId="12"/>
      <queryTableField id="13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DBD2D-3BE7-42D6-AF7A-B78280D9BD76}" name="Ausleihen" displayName="Ausleihen_1" ref="A1:D46" tableType="queryTable" totalsRowShown="0">
  <autoFilter ref="A1:D46" xr:uid="{945DBD2D-3BE7-42D6-AF7A-B78280D9BD76}"/>
  <tableColumns count="4">
    <tableColumn id="5" xr3:uid="{DA4AD0F5-B12C-4E50-BC98-0CBA549E73E2}" uniqueName="5" name="Gerätenummer" queryTableFieldId="1" dataDxfId="23"/>
    <tableColumn id="2" xr3:uid="{108D8E0E-7290-4782-B440-417677A74FBE}" uniqueName="2" name="Mitarbeiter-ID" queryTableFieldId="2" dataDxfId="2"/>
    <tableColumn id="3" xr3:uid="{E539D635-D860-440A-B0DF-AF4C5AB8AB17}" uniqueName="3" name="Ausgabe am" queryTableFieldId="3" dataDxfId="0"/>
    <tableColumn id="4" xr3:uid="{6687BFE5-CD39-440E-8345-965AAAA9FD06}" uniqueName="4" name="Rückgabe am" queryTableFieldId="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12D4FB-3A8C-40F5-9305-C52B906461BF}" name="Geraete" displayName="Geraete" ref="A1:F36" tableType="queryTable" totalsRowShown="0">
  <autoFilter ref="A1:F36" xr:uid="{9412D4FB-3A8C-40F5-9305-C52B906461BF}"/>
  <tableColumns count="6">
    <tableColumn id="7" xr3:uid="{0D035A88-0B0D-4910-AA70-050D460A6265}" uniqueName="7" name="Gerätenummer" queryTableFieldId="1" dataDxfId="22"/>
    <tableColumn id="2" xr3:uid="{D3C4BA80-DAC0-4D81-B0AF-E345EF3331F0}" uniqueName="2" name="Gerätetyp" queryTableFieldId="2" dataDxfId="21"/>
    <tableColumn id="3" xr3:uid="{BE74E6A9-1EDC-4DD3-A339-BFF6775219A9}" uniqueName="3" name="Modell" queryTableFieldId="3" dataDxfId="20"/>
    <tableColumn id="4" xr3:uid="{4B854D04-6583-4820-BA1E-EFD9CE1F0086}" uniqueName="4" name="Kaufdatum" queryTableFieldId="4" dataDxfId="19"/>
    <tableColumn id="5" xr3:uid="{A55DA5F3-A292-43F3-8832-94729107C772}" uniqueName="5" name="Netto-Kaufpreis" queryTableFieldId="5"/>
    <tableColumn id="6" xr3:uid="{254A9F71-F143-4CAE-AF55-260CDCE780D0}" uniqueName="6" name="Standort" queryTableFieldId="6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B0C38B-0F9E-476D-841A-DC2E56AD697E}" name="Mitarbeiter" displayName="Mitarbeiter" ref="A1:D13" tableType="queryTable" totalsRowShown="0">
  <autoFilter ref="A1:D13" xr:uid="{BBB0C38B-0F9E-476D-841A-DC2E56AD697E}"/>
  <tableColumns count="4">
    <tableColumn id="5" xr3:uid="{099BAB80-A6D3-41E3-822A-5272CA4EE2AD}" uniqueName="5" name="Mitarbeiter-ID" queryTableFieldId="1" dataDxfId="17"/>
    <tableColumn id="2" xr3:uid="{576EB52A-7C17-4257-9425-3A1C52EB3CF4}" uniqueName="2" name="Name" queryTableFieldId="2" dataDxfId="16"/>
    <tableColumn id="3" xr3:uid="{652E81FD-699A-4D81-9276-638C3D92A41F}" uniqueName="3" name="Abteilung" queryTableFieldId="3" dataDxfId="15"/>
    <tableColumn id="4" xr3:uid="{EC67C231-7675-407D-88E2-A57B3F938C83}" uniqueName="4" name="Standort" queryTableFieldId="4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7A371E-1690-4014-9593-C44EBDF37AFB}" name="Gesamttabelle" displayName="Gesamttabelle" ref="A1:M46" tableType="queryTable" totalsRowShown="0">
  <autoFilter ref="A1:M46" xr:uid="{357A371E-1690-4014-9593-C44EBDF37AFB}"/>
  <tableColumns count="13">
    <tableColumn id="13" xr3:uid="{205F3B6B-5722-4A46-986A-967D0F7D0327}" uniqueName="13" name="Gerätenummer" queryTableFieldId="1" dataDxfId="13"/>
    <tableColumn id="2" xr3:uid="{CAC18065-9910-415D-B34F-25538E8D7E3D}" uniqueName="2" name="Mitarbeiter-ID" queryTableFieldId="2"/>
    <tableColumn id="3" xr3:uid="{5754DB74-075E-467B-909F-5B557E6DF3AD}" uniqueName="3" name="Ausgabe am" queryTableFieldId="3" dataDxfId="12"/>
    <tableColumn id="4" xr3:uid="{45330DDD-9CF1-47BE-AECE-32E787F70FF8}" uniqueName="4" name="Rückgabe am" queryTableFieldId="4" dataDxfId="11"/>
    <tableColumn id="5" xr3:uid="{C0660EDD-F065-4C0A-B907-757D522BFB42}" uniqueName="5" name="Gerätetyp" queryTableFieldId="5" dataDxfId="10"/>
    <tableColumn id="6" xr3:uid="{EC9DE047-ED89-4EB2-A15E-40D12ADF170F}" uniqueName="6" name="Modell" queryTableFieldId="6" dataDxfId="9"/>
    <tableColumn id="7" xr3:uid="{D26A6C5B-9D1B-4A8D-883C-3A39BD24CBE3}" uniqueName="7" name="Kaufdatum" queryTableFieldId="7" dataDxfId="8"/>
    <tableColumn id="8" xr3:uid="{9D649A77-3F4E-4BA0-9892-E1800AEA242E}" uniqueName="8" name="Netto-Kaufpreis" queryTableFieldId="8"/>
    <tableColumn id="9" xr3:uid="{B3C12051-E9F3-4942-8841-B1F5DC8B885E}" uniqueName="9" name="Geräte_Standort" queryTableFieldId="9" dataDxfId="7"/>
    <tableColumn id="10" xr3:uid="{A080F475-9387-4DDD-8554-0771167660C7}" uniqueName="10" name="Name" queryTableFieldId="10" dataDxfId="6"/>
    <tableColumn id="11" xr3:uid="{8A3C71AE-8CED-4A44-BA8E-2EE29DACEA7D}" uniqueName="11" name="Abteilung" queryTableFieldId="11" dataDxfId="5"/>
    <tableColumn id="12" xr3:uid="{674FFE03-CE3B-4B97-9408-B4CBC6025E7F}" uniqueName="12" name="Mitarbeiter_Standort" queryTableFieldId="12" dataDxfId="4"/>
    <tableColumn id="14" xr3:uid="{90939160-AA25-4D60-85B8-86F508E3EDCF}" uniqueName="14" name="Gesamtwert nicht im Einsatz" queryTableFieldId="13" dataDxfId="3">
      <calculatedColumnFormula>SUMIFS(H2:H46, D2:D46, 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B07D-C7D5-4C65-BCBE-136CD51D4007}">
  <dimension ref="A1:D46"/>
  <sheetViews>
    <sheetView topLeftCell="A18" workbookViewId="0">
      <selection activeCell="C26" sqref="C26"/>
    </sheetView>
  </sheetViews>
  <sheetFormatPr defaultRowHeight="14" x14ac:dyDescent="0.3"/>
  <cols>
    <col min="1" max="1" width="16" bestFit="1" customWidth="1"/>
    <col min="2" max="2" width="15.58203125" bestFit="1" customWidth="1"/>
    <col min="3" max="3" width="13.5" style="12" bestFit="1" customWidth="1"/>
    <col min="4" max="4" width="14.58203125" bestFit="1" customWidth="1"/>
  </cols>
  <sheetData>
    <row r="1" spans="1:4" x14ac:dyDescent="0.3">
      <c r="A1" t="s">
        <v>0</v>
      </c>
      <c r="B1" t="s">
        <v>1</v>
      </c>
      <c r="C1" s="12" t="s">
        <v>2</v>
      </c>
      <c r="D1" t="s">
        <v>3</v>
      </c>
    </row>
    <row r="2" spans="1:4" x14ac:dyDescent="0.3">
      <c r="A2" t="s">
        <v>4</v>
      </c>
      <c r="B2">
        <v>1009</v>
      </c>
      <c r="C2" s="13">
        <v>45421</v>
      </c>
      <c r="D2" s="1"/>
    </row>
    <row r="3" spans="1:4" x14ac:dyDescent="0.3">
      <c r="A3" t="s">
        <v>5</v>
      </c>
      <c r="B3">
        <v>1008</v>
      </c>
      <c r="C3" s="13">
        <v>45930</v>
      </c>
      <c r="D3" s="1">
        <v>45935</v>
      </c>
    </row>
    <row r="4" spans="1:4" x14ac:dyDescent="0.3">
      <c r="A4" t="s">
        <v>6</v>
      </c>
      <c r="B4">
        <v>1005</v>
      </c>
      <c r="C4" s="13">
        <v>45743</v>
      </c>
      <c r="D4" s="1">
        <v>45868</v>
      </c>
    </row>
    <row r="5" spans="1:4" x14ac:dyDescent="0.3">
      <c r="A5" t="s">
        <v>7</v>
      </c>
      <c r="B5">
        <v>1010</v>
      </c>
      <c r="C5" s="13">
        <v>45866</v>
      </c>
      <c r="D5" s="1"/>
    </row>
    <row r="6" spans="1:4" x14ac:dyDescent="0.3">
      <c r="A6" t="s">
        <v>8</v>
      </c>
      <c r="B6">
        <v>1012</v>
      </c>
      <c r="C6" s="13">
        <v>45808</v>
      </c>
      <c r="D6" s="1">
        <v>45818</v>
      </c>
    </row>
    <row r="7" spans="1:4" x14ac:dyDescent="0.3">
      <c r="A7" t="s">
        <v>9</v>
      </c>
      <c r="B7">
        <v>1009</v>
      </c>
      <c r="C7" s="13">
        <v>45389</v>
      </c>
      <c r="D7" s="1"/>
    </row>
    <row r="8" spans="1:4" x14ac:dyDescent="0.3">
      <c r="A8" t="s">
        <v>10</v>
      </c>
      <c r="B8">
        <v>1011</v>
      </c>
      <c r="C8" s="13">
        <v>45850</v>
      </c>
      <c r="D8" s="1">
        <v>45853</v>
      </c>
    </row>
    <row r="9" spans="1:4" x14ac:dyDescent="0.3">
      <c r="A9" t="s">
        <v>11</v>
      </c>
      <c r="B9">
        <v>1005</v>
      </c>
      <c r="C9" s="13">
        <v>45837</v>
      </c>
      <c r="D9" s="1">
        <v>45898</v>
      </c>
    </row>
    <row r="10" spans="1:4" x14ac:dyDescent="0.3">
      <c r="A10" t="s">
        <v>12</v>
      </c>
      <c r="B10">
        <v>1004</v>
      </c>
      <c r="C10" s="13">
        <v>45523</v>
      </c>
      <c r="D10" s="1"/>
    </row>
    <row r="11" spans="1:4" x14ac:dyDescent="0.3">
      <c r="A11" t="s">
        <v>13</v>
      </c>
      <c r="B11">
        <v>1012</v>
      </c>
      <c r="C11" s="13">
        <v>45419</v>
      </c>
      <c r="D11" s="1">
        <v>45470</v>
      </c>
    </row>
    <row r="12" spans="1:4" x14ac:dyDescent="0.3">
      <c r="A12" t="s">
        <v>6</v>
      </c>
      <c r="B12">
        <v>1008</v>
      </c>
      <c r="C12" s="13">
        <v>45375</v>
      </c>
      <c r="D12" s="1"/>
    </row>
    <row r="13" spans="1:4" x14ac:dyDescent="0.3">
      <c r="A13" t="s">
        <v>14</v>
      </c>
      <c r="B13">
        <v>1002</v>
      </c>
      <c r="C13" s="13">
        <v>45921</v>
      </c>
      <c r="D13" s="1">
        <v>45934</v>
      </c>
    </row>
    <row r="14" spans="1:4" x14ac:dyDescent="0.3">
      <c r="A14" t="s">
        <v>9</v>
      </c>
      <c r="B14">
        <v>1006</v>
      </c>
      <c r="C14" s="13">
        <v>45892</v>
      </c>
      <c r="D14" s="1">
        <v>45922</v>
      </c>
    </row>
    <row r="15" spans="1:4" x14ac:dyDescent="0.3">
      <c r="A15" t="s">
        <v>15</v>
      </c>
      <c r="B15">
        <v>1010</v>
      </c>
      <c r="C15" s="13">
        <v>45377</v>
      </c>
      <c r="D15" s="1">
        <v>45886</v>
      </c>
    </row>
    <row r="16" spans="1:4" x14ac:dyDescent="0.3">
      <c r="A16" t="s">
        <v>9</v>
      </c>
      <c r="B16">
        <v>1012</v>
      </c>
      <c r="C16" s="13">
        <v>45599</v>
      </c>
      <c r="D16" s="1"/>
    </row>
    <row r="17" spans="1:4" x14ac:dyDescent="0.3">
      <c r="A17" t="s">
        <v>15</v>
      </c>
      <c r="B17">
        <v>1002</v>
      </c>
      <c r="C17" s="13">
        <v>45519</v>
      </c>
      <c r="D17" s="1"/>
    </row>
    <row r="18" spans="1:4" x14ac:dyDescent="0.3">
      <c r="A18" t="s">
        <v>16</v>
      </c>
      <c r="B18">
        <v>1002</v>
      </c>
      <c r="C18" s="13">
        <v>45899</v>
      </c>
      <c r="D18" s="1">
        <v>45930</v>
      </c>
    </row>
    <row r="19" spans="1:4" x14ac:dyDescent="0.3">
      <c r="A19" t="s">
        <v>17</v>
      </c>
      <c r="B19">
        <v>1011</v>
      </c>
      <c r="C19" s="13">
        <v>45568</v>
      </c>
      <c r="D19" s="1">
        <v>45623</v>
      </c>
    </row>
    <row r="20" spans="1:4" x14ac:dyDescent="0.3">
      <c r="A20" t="s">
        <v>4</v>
      </c>
      <c r="B20">
        <v>1003</v>
      </c>
      <c r="C20" s="13">
        <v>45417</v>
      </c>
      <c r="D20" s="1"/>
    </row>
    <row r="21" spans="1:4" x14ac:dyDescent="0.3">
      <c r="A21" t="s">
        <v>18</v>
      </c>
      <c r="B21">
        <v>1004</v>
      </c>
      <c r="C21" s="13">
        <v>45320</v>
      </c>
      <c r="D21" s="1"/>
    </row>
    <row r="22" spans="1:4" x14ac:dyDescent="0.3">
      <c r="A22" t="s">
        <v>19</v>
      </c>
      <c r="B22">
        <v>1004</v>
      </c>
      <c r="C22" s="13">
        <v>45403</v>
      </c>
      <c r="D22" s="1">
        <v>45839</v>
      </c>
    </row>
    <row r="23" spans="1:4" x14ac:dyDescent="0.3">
      <c r="A23" t="s">
        <v>12</v>
      </c>
      <c r="B23">
        <v>1006</v>
      </c>
      <c r="C23" s="13">
        <v>45630</v>
      </c>
      <c r="D23" s="1">
        <v>45732</v>
      </c>
    </row>
    <row r="24" spans="1:4" x14ac:dyDescent="0.3">
      <c r="A24" t="s">
        <v>20</v>
      </c>
      <c r="B24">
        <v>1012</v>
      </c>
      <c r="C24" s="13">
        <v>45792</v>
      </c>
      <c r="D24" s="1">
        <v>45905</v>
      </c>
    </row>
    <row r="25" spans="1:4" x14ac:dyDescent="0.3">
      <c r="A25" t="s">
        <v>21</v>
      </c>
      <c r="B25">
        <v>1001</v>
      </c>
      <c r="C25" s="13">
        <v>45544</v>
      </c>
      <c r="D25" s="1">
        <v>45854</v>
      </c>
    </row>
    <row r="26" spans="1:4" x14ac:dyDescent="0.3">
      <c r="A26" t="s">
        <v>16</v>
      </c>
      <c r="B26">
        <v>1002</v>
      </c>
      <c r="C26" s="14">
        <v>45493</v>
      </c>
      <c r="D26" s="1">
        <v>45663</v>
      </c>
    </row>
    <row r="27" spans="1:4" x14ac:dyDescent="0.3">
      <c r="A27" t="s">
        <v>13</v>
      </c>
      <c r="B27">
        <v>1009</v>
      </c>
      <c r="C27" s="13">
        <v>45319</v>
      </c>
      <c r="D27" s="1">
        <v>45714</v>
      </c>
    </row>
    <row r="28" spans="1:4" x14ac:dyDescent="0.3">
      <c r="A28" t="s">
        <v>12</v>
      </c>
      <c r="B28">
        <v>1003</v>
      </c>
      <c r="C28" s="13">
        <v>45595</v>
      </c>
      <c r="D28" s="1">
        <v>45630</v>
      </c>
    </row>
    <row r="29" spans="1:4" x14ac:dyDescent="0.3">
      <c r="A29" t="s">
        <v>7</v>
      </c>
      <c r="B29">
        <v>1002</v>
      </c>
      <c r="C29" s="13">
        <v>45799</v>
      </c>
      <c r="D29" s="1">
        <v>45808</v>
      </c>
    </row>
    <row r="30" spans="1:4" x14ac:dyDescent="0.3">
      <c r="A30" t="s">
        <v>21</v>
      </c>
      <c r="B30">
        <v>1001</v>
      </c>
      <c r="C30" s="13">
        <v>45880</v>
      </c>
      <c r="D30" s="1"/>
    </row>
    <row r="31" spans="1:4" x14ac:dyDescent="0.3">
      <c r="A31" t="s">
        <v>4</v>
      </c>
      <c r="B31">
        <v>1001</v>
      </c>
      <c r="C31" s="13">
        <v>45297</v>
      </c>
      <c r="D31" s="1"/>
    </row>
    <row r="32" spans="1:4" x14ac:dyDescent="0.3">
      <c r="A32" t="s">
        <v>7</v>
      </c>
      <c r="B32">
        <v>1003</v>
      </c>
      <c r="C32" s="13">
        <v>45330</v>
      </c>
      <c r="D32" s="1">
        <v>45817</v>
      </c>
    </row>
    <row r="33" spans="1:4" x14ac:dyDescent="0.3">
      <c r="A33" t="s">
        <v>18</v>
      </c>
      <c r="B33">
        <v>1004</v>
      </c>
      <c r="C33" s="13">
        <v>45336</v>
      </c>
      <c r="D33" s="1"/>
    </row>
    <row r="34" spans="1:4" x14ac:dyDescent="0.3">
      <c r="A34" t="s">
        <v>22</v>
      </c>
      <c r="B34">
        <v>1003</v>
      </c>
      <c r="C34" s="13">
        <v>45827</v>
      </c>
      <c r="D34" s="1">
        <v>45908</v>
      </c>
    </row>
    <row r="35" spans="1:4" x14ac:dyDescent="0.3">
      <c r="A35" t="s">
        <v>23</v>
      </c>
      <c r="B35">
        <v>1005</v>
      </c>
      <c r="C35" s="13">
        <v>45675</v>
      </c>
      <c r="D35" s="1"/>
    </row>
    <row r="36" spans="1:4" x14ac:dyDescent="0.3">
      <c r="A36" t="s">
        <v>20</v>
      </c>
      <c r="B36">
        <v>1005</v>
      </c>
      <c r="C36" s="13">
        <v>45261</v>
      </c>
      <c r="D36" s="1">
        <v>45559</v>
      </c>
    </row>
    <row r="37" spans="1:4" x14ac:dyDescent="0.3">
      <c r="A37" t="s">
        <v>24</v>
      </c>
      <c r="B37">
        <v>1003</v>
      </c>
      <c r="C37" s="13">
        <v>45508</v>
      </c>
      <c r="D37" s="1">
        <v>45871</v>
      </c>
    </row>
    <row r="38" spans="1:4" x14ac:dyDescent="0.3">
      <c r="A38" t="s">
        <v>25</v>
      </c>
      <c r="B38">
        <v>1001</v>
      </c>
      <c r="C38" s="13">
        <v>45622</v>
      </c>
      <c r="D38" s="1">
        <v>45719</v>
      </c>
    </row>
    <row r="39" spans="1:4" x14ac:dyDescent="0.3">
      <c r="A39" t="s">
        <v>4</v>
      </c>
      <c r="B39">
        <v>1001</v>
      </c>
      <c r="C39" s="13">
        <v>45641</v>
      </c>
      <c r="D39" s="1"/>
    </row>
    <row r="40" spans="1:4" x14ac:dyDescent="0.3">
      <c r="A40" t="s">
        <v>22</v>
      </c>
      <c r="B40">
        <v>1001</v>
      </c>
      <c r="C40" s="13">
        <v>45880</v>
      </c>
      <c r="D40" s="1">
        <v>45881</v>
      </c>
    </row>
    <row r="41" spans="1:4" x14ac:dyDescent="0.3">
      <c r="A41" t="s">
        <v>26</v>
      </c>
      <c r="B41">
        <v>1009</v>
      </c>
      <c r="C41" s="13">
        <v>45740</v>
      </c>
      <c r="D41" s="1">
        <v>45784</v>
      </c>
    </row>
    <row r="42" spans="1:4" x14ac:dyDescent="0.3">
      <c r="A42" t="s">
        <v>26</v>
      </c>
      <c r="B42">
        <v>1002</v>
      </c>
      <c r="C42" s="13">
        <v>45741</v>
      </c>
      <c r="D42" s="1"/>
    </row>
    <row r="43" spans="1:4" x14ac:dyDescent="0.3">
      <c r="A43" t="s">
        <v>9</v>
      </c>
      <c r="B43">
        <v>1010</v>
      </c>
      <c r="C43" s="13">
        <v>45899</v>
      </c>
      <c r="D43" s="1">
        <v>45925</v>
      </c>
    </row>
    <row r="44" spans="1:4" x14ac:dyDescent="0.3">
      <c r="A44" t="s">
        <v>7</v>
      </c>
      <c r="B44">
        <v>1007</v>
      </c>
      <c r="C44" s="13">
        <v>45795</v>
      </c>
      <c r="D44" s="1">
        <v>45846</v>
      </c>
    </row>
    <row r="45" spans="1:4" x14ac:dyDescent="0.3">
      <c r="A45" t="s">
        <v>7</v>
      </c>
      <c r="B45">
        <v>1010</v>
      </c>
      <c r="C45" s="13">
        <v>45808</v>
      </c>
      <c r="D45" s="1">
        <v>45932</v>
      </c>
    </row>
    <row r="46" spans="1:4" x14ac:dyDescent="0.3">
      <c r="A46" t="s">
        <v>8</v>
      </c>
      <c r="B46">
        <v>1007</v>
      </c>
      <c r="C46" s="13">
        <v>45476</v>
      </c>
      <c r="D46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5C50-1701-4163-B749-DAC48F49CD96}">
  <dimension ref="A1:F36"/>
  <sheetViews>
    <sheetView workbookViewId="0">
      <selection activeCell="K15" sqref="K15"/>
    </sheetView>
  </sheetViews>
  <sheetFormatPr defaultRowHeight="14" x14ac:dyDescent="0.3"/>
  <cols>
    <col min="1" max="1" width="16" bestFit="1" customWidth="1"/>
    <col min="2" max="2" width="11.4140625" bestFit="1" customWidth="1"/>
    <col min="3" max="3" width="14.9140625" bestFit="1" customWidth="1"/>
    <col min="4" max="4" width="12.33203125" bestFit="1" customWidth="1"/>
    <col min="5" max="5" width="17.08203125" bestFit="1" customWidth="1"/>
    <col min="6" max="6" width="10.4140625" bestFit="1" customWidth="1"/>
  </cols>
  <sheetData>
    <row r="1" spans="1:6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 t="s">
        <v>32</v>
      </c>
      <c r="B2" t="s">
        <v>33</v>
      </c>
      <c r="C2" t="s">
        <v>34</v>
      </c>
      <c r="D2" s="1">
        <v>44937</v>
      </c>
      <c r="E2">
        <v>1342.83</v>
      </c>
      <c r="F2" t="s">
        <v>35</v>
      </c>
    </row>
    <row r="3" spans="1:6" x14ac:dyDescent="0.3">
      <c r="A3" t="s">
        <v>36</v>
      </c>
      <c r="B3" t="s">
        <v>33</v>
      </c>
      <c r="C3" t="s">
        <v>37</v>
      </c>
      <c r="D3" s="1">
        <v>44250</v>
      </c>
      <c r="E3">
        <v>1076.18</v>
      </c>
      <c r="F3" t="s">
        <v>38</v>
      </c>
    </row>
    <row r="4" spans="1:6" x14ac:dyDescent="0.3">
      <c r="A4" t="s">
        <v>39</v>
      </c>
      <c r="B4" t="s">
        <v>33</v>
      </c>
      <c r="C4" t="s">
        <v>40</v>
      </c>
      <c r="D4" s="1">
        <v>45543</v>
      </c>
      <c r="E4">
        <v>1931.54</v>
      </c>
      <c r="F4" t="s">
        <v>38</v>
      </c>
    </row>
    <row r="5" spans="1:6" x14ac:dyDescent="0.3">
      <c r="A5" t="s">
        <v>22</v>
      </c>
      <c r="B5" t="s">
        <v>41</v>
      </c>
      <c r="C5" t="s">
        <v>42</v>
      </c>
      <c r="D5" s="1">
        <v>45782</v>
      </c>
      <c r="E5">
        <v>1007.88</v>
      </c>
      <c r="F5" t="s">
        <v>38</v>
      </c>
    </row>
    <row r="6" spans="1:6" x14ac:dyDescent="0.3">
      <c r="A6" t="s">
        <v>9</v>
      </c>
      <c r="B6" t="s">
        <v>43</v>
      </c>
      <c r="C6" t="s">
        <v>44</v>
      </c>
      <c r="D6" s="1">
        <v>44503</v>
      </c>
      <c r="E6">
        <v>823.23</v>
      </c>
      <c r="F6" t="s">
        <v>35</v>
      </c>
    </row>
    <row r="7" spans="1:6" x14ac:dyDescent="0.3">
      <c r="A7" t="s">
        <v>8</v>
      </c>
      <c r="B7" t="s">
        <v>45</v>
      </c>
      <c r="C7" t="s">
        <v>46</v>
      </c>
      <c r="D7" s="1">
        <v>45292</v>
      </c>
      <c r="E7">
        <v>1257.96</v>
      </c>
      <c r="F7" t="s">
        <v>38</v>
      </c>
    </row>
    <row r="8" spans="1:6" x14ac:dyDescent="0.3">
      <c r="A8" t="s">
        <v>21</v>
      </c>
      <c r="B8" t="s">
        <v>41</v>
      </c>
      <c r="C8" t="s">
        <v>47</v>
      </c>
      <c r="D8" s="1">
        <v>44360</v>
      </c>
      <c r="E8">
        <v>869.09</v>
      </c>
      <c r="F8" t="s">
        <v>48</v>
      </c>
    </row>
    <row r="9" spans="1:6" x14ac:dyDescent="0.3">
      <c r="A9" t="s">
        <v>49</v>
      </c>
      <c r="B9" t="s">
        <v>50</v>
      </c>
      <c r="C9" t="s">
        <v>51</v>
      </c>
      <c r="D9" s="1">
        <v>45831</v>
      </c>
      <c r="E9">
        <v>1323.76</v>
      </c>
      <c r="F9" t="s">
        <v>48</v>
      </c>
    </row>
    <row r="10" spans="1:6" x14ac:dyDescent="0.3">
      <c r="A10" t="s">
        <v>10</v>
      </c>
      <c r="B10" t="s">
        <v>41</v>
      </c>
      <c r="C10" t="s">
        <v>42</v>
      </c>
      <c r="D10" s="1">
        <v>45026</v>
      </c>
      <c r="E10">
        <v>1458.02</v>
      </c>
      <c r="F10" t="s">
        <v>38</v>
      </c>
    </row>
    <row r="11" spans="1:6" x14ac:dyDescent="0.3">
      <c r="A11" t="s">
        <v>52</v>
      </c>
      <c r="B11" t="s">
        <v>41</v>
      </c>
      <c r="C11" t="s">
        <v>42</v>
      </c>
      <c r="D11" s="1">
        <v>45239</v>
      </c>
      <c r="E11">
        <v>1786.37</v>
      </c>
      <c r="F11" t="s">
        <v>38</v>
      </c>
    </row>
    <row r="12" spans="1:6" x14ac:dyDescent="0.3">
      <c r="A12" t="s">
        <v>11</v>
      </c>
      <c r="B12" t="s">
        <v>43</v>
      </c>
      <c r="C12" t="s">
        <v>53</v>
      </c>
      <c r="D12" s="1">
        <v>45909</v>
      </c>
      <c r="E12">
        <v>1417.1</v>
      </c>
      <c r="F12" t="s">
        <v>38</v>
      </c>
    </row>
    <row r="13" spans="1:6" x14ac:dyDescent="0.3">
      <c r="A13" t="s">
        <v>54</v>
      </c>
      <c r="B13" t="s">
        <v>33</v>
      </c>
      <c r="C13" t="s">
        <v>34</v>
      </c>
      <c r="D13" s="1">
        <v>44713</v>
      </c>
      <c r="E13">
        <v>968.43</v>
      </c>
      <c r="F13" t="s">
        <v>48</v>
      </c>
    </row>
    <row r="14" spans="1:6" x14ac:dyDescent="0.3">
      <c r="A14" t="s">
        <v>13</v>
      </c>
      <c r="B14" t="s">
        <v>43</v>
      </c>
      <c r="C14" t="s">
        <v>44</v>
      </c>
      <c r="D14" s="1">
        <v>44332</v>
      </c>
      <c r="E14">
        <v>1898.65</v>
      </c>
      <c r="F14" t="s">
        <v>48</v>
      </c>
    </row>
    <row r="15" spans="1:6" x14ac:dyDescent="0.3">
      <c r="A15" t="s">
        <v>25</v>
      </c>
      <c r="B15" t="s">
        <v>41</v>
      </c>
      <c r="C15" t="s">
        <v>47</v>
      </c>
      <c r="D15" s="1">
        <v>44258</v>
      </c>
      <c r="E15">
        <v>1415.97</v>
      </c>
      <c r="F15" t="s">
        <v>48</v>
      </c>
    </row>
    <row r="16" spans="1:6" x14ac:dyDescent="0.3">
      <c r="A16" t="s">
        <v>15</v>
      </c>
      <c r="B16" t="s">
        <v>45</v>
      </c>
      <c r="C16" t="s">
        <v>55</v>
      </c>
      <c r="D16" s="1">
        <v>44824</v>
      </c>
      <c r="E16">
        <v>661.44</v>
      </c>
      <c r="F16" t="s">
        <v>38</v>
      </c>
    </row>
    <row r="17" spans="1:6" x14ac:dyDescent="0.3">
      <c r="A17" t="s">
        <v>7</v>
      </c>
      <c r="B17" t="s">
        <v>43</v>
      </c>
      <c r="C17" t="s">
        <v>44</v>
      </c>
      <c r="D17" s="1">
        <v>45015</v>
      </c>
      <c r="E17">
        <v>1501.06</v>
      </c>
      <c r="F17" t="s">
        <v>35</v>
      </c>
    </row>
    <row r="18" spans="1:6" x14ac:dyDescent="0.3">
      <c r="A18" t="s">
        <v>56</v>
      </c>
      <c r="B18" t="s">
        <v>45</v>
      </c>
      <c r="C18" t="s">
        <v>46</v>
      </c>
      <c r="D18" s="1">
        <v>44363</v>
      </c>
      <c r="E18">
        <v>1748.56</v>
      </c>
      <c r="F18" t="s">
        <v>35</v>
      </c>
    </row>
    <row r="19" spans="1:6" x14ac:dyDescent="0.3">
      <c r="A19" t="s">
        <v>17</v>
      </c>
      <c r="B19" t="s">
        <v>33</v>
      </c>
      <c r="C19" t="s">
        <v>40</v>
      </c>
      <c r="D19" s="1">
        <v>44839</v>
      </c>
      <c r="E19">
        <v>1688.07</v>
      </c>
      <c r="F19" t="s">
        <v>38</v>
      </c>
    </row>
    <row r="20" spans="1:6" x14ac:dyDescent="0.3">
      <c r="A20" t="s">
        <v>57</v>
      </c>
      <c r="B20" t="s">
        <v>43</v>
      </c>
      <c r="C20" t="s">
        <v>58</v>
      </c>
      <c r="D20" s="1">
        <v>44429</v>
      </c>
      <c r="E20">
        <v>737.57</v>
      </c>
      <c r="F20" t="s">
        <v>48</v>
      </c>
    </row>
    <row r="21" spans="1:6" x14ac:dyDescent="0.3">
      <c r="A21" t="s">
        <v>59</v>
      </c>
      <c r="B21" t="s">
        <v>45</v>
      </c>
      <c r="C21" t="s">
        <v>46</v>
      </c>
      <c r="D21" s="1">
        <v>45297</v>
      </c>
      <c r="E21">
        <v>740.2</v>
      </c>
      <c r="F21" t="s">
        <v>38</v>
      </c>
    </row>
    <row r="22" spans="1:6" x14ac:dyDescent="0.3">
      <c r="A22" t="s">
        <v>5</v>
      </c>
      <c r="B22" t="s">
        <v>60</v>
      </c>
      <c r="C22" t="s">
        <v>61</v>
      </c>
      <c r="D22" s="1">
        <v>44979</v>
      </c>
      <c r="E22">
        <v>1134.1600000000001</v>
      </c>
      <c r="F22" t="s">
        <v>38</v>
      </c>
    </row>
    <row r="23" spans="1:6" x14ac:dyDescent="0.3">
      <c r="A23" t="s">
        <v>16</v>
      </c>
      <c r="B23" t="s">
        <v>33</v>
      </c>
      <c r="C23" t="s">
        <v>40</v>
      </c>
      <c r="D23" s="1">
        <v>45524</v>
      </c>
      <c r="E23">
        <v>1591.98</v>
      </c>
      <c r="F23" t="s">
        <v>48</v>
      </c>
    </row>
    <row r="24" spans="1:6" x14ac:dyDescent="0.3">
      <c r="A24" t="s">
        <v>62</v>
      </c>
      <c r="B24" t="s">
        <v>43</v>
      </c>
      <c r="C24" t="s">
        <v>44</v>
      </c>
      <c r="D24" s="1">
        <v>45249</v>
      </c>
      <c r="E24">
        <v>1335.34</v>
      </c>
      <c r="F24" t="s">
        <v>48</v>
      </c>
    </row>
    <row r="25" spans="1:6" x14ac:dyDescent="0.3">
      <c r="A25" t="s">
        <v>6</v>
      </c>
      <c r="B25" t="s">
        <v>60</v>
      </c>
      <c r="C25" t="s">
        <v>63</v>
      </c>
      <c r="D25" s="1">
        <v>44621</v>
      </c>
      <c r="E25">
        <v>750.91</v>
      </c>
      <c r="F25" t="s">
        <v>35</v>
      </c>
    </row>
    <row r="26" spans="1:6" x14ac:dyDescent="0.3">
      <c r="A26" t="s">
        <v>23</v>
      </c>
      <c r="B26" t="s">
        <v>50</v>
      </c>
      <c r="C26" t="s">
        <v>51</v>
      </c>
      <c r="D26" s="1">
        <v>45266</v>
      </c>
      <c r="E26">
        <v>545.46</v>
      </c>
      <c r="F26" t="s">
        <v>35</v>
      </c>
    </row>
    <row r="27" spans="1:6" x14ac:dyDescent="0.3">
      <c r="A27" t="s">
        <v>64</v>
      </c>
      <c r="B27" t="s">
        <v>41</v>
      </c>
      <c r="C27" t="s">
        <v>42</v>
      </c>
      <c r="D27" s="1">
        <v>45219</v>
      </c>
      <c r="E27">
        <v>1403.91</v>
      </c>
      <c r="F27" t="s">
        <v>48</v>
      </c>
    </row>
    <row r="28" spans="1:6" x14ac:dyDescent="0.3">
      <c r="A28" t="s">
        <v>19</v>
      </c>
      <c r="B28" t="s">
        <v>60</v>
      </c>
      <c r="C28" t="s">
        <v>61</v>
      </c>
      <c r="D28" s="1">
        <v>44766</v>
      </c>
      <c r="E28">
        <v>501.64</v>
      </c>
      <c r="F28" t="s">
        <v>38</v>
      </c>
    </row>
    <row r="29" spans="1:6" x14ac:dyDescent="0.3">
      <c r="A29" t="s">
        <v>12</v>
      </c>
      <c r="B29" t="s">
        <v>50</v>
      </c>
      <c r="C29" t="s">
        <v>51</v>
      </c>
      <c r="D29" s="1">
        <v>44945</v>
      </c>
      <c r="E29">
        <v>1246.58</v>
      </c>
      <c r="F29" t="s">
        <v>48</v>
      </c>
    </row>
    <row r="30" spans="1:6" x14ac:dyDescent="0.3">
      <c r="A30" t="s">
        <v>14</v>
      </c>
      <c r="B30" t="s">
        <v>41</v>
      </c>
      <c r="C30" t="s">
        <v>47</v>
      </c>
      <c r="D30" s="1">
        <v>44337</v>
      </c>
      <c r="E30">
        <v>1553.15</v>
      </c>
      <c r="F30" t="s">
        <v>48</v>
      </c>
    </row>
    <row r="31" spans="1:6" x14ac:dyDescent="0.3">
      <c r="A31" t="s">
        <v>20</v>
      </c>
      <c r="B31" t="s">
        <v>50</v>
      </c>
      <c r="C31" t="s">
        <v>51</v>
      </c>
      <c r="D31" s="1">
        <v>44647</v>
      </c>
      <c r="E31">
        <v>1629.76</v>
      </c>
      <c r="F31" t="s">
        <v>38</v>
      </c>
    </row>
    <row r="32" spans="1:6" x14ac:dyDescent="0.3">
      <c r="A32" t="s">
        <v>18</v>
      </c>
      <c r="B32" t="s">
        <v>41</v>
      </c>
      <c r="C32" t="s">
        <v>65</v>
      </c>
      <c r="D32" s="1">
        <v>45775</v>
      </c>
      <c r="E32">
        <v>1095.6199999999999</v>
      </c>
      <c r="F32" t="s">
        <v>38</v>
      </c>
    </row>
    <row r="33" spans="1:6" x14ac:dyDescent="0.3">
      <c r="A33" t="s">
        <v>24</v>
      </c>
      <c r="B33" t="s">
        <v>41</v>
      </c>
      <c r="C33" t="s">
        <v>47</v>
      </c>
      <c r="D33" s="1">
        <v>44876</v>
      </c>
      <c r="E33">
        <v>1801.36</v>
      </c>
      <c r="F33" t="s">
        <v>38</v>
      </c>
    </row>
    <row r="34" spans="1:6" x14ac:dyDescent="0.3">
      <c r="A34" t="s">
        <v>26</v>
      </c>
      <c r="B34" t="s">
        <v>50</v>
      </c>
      <c r="C34" t="s">
        <v>66</v>
      </c>
      <c r="D34" s="1">
        <v>44623</v>
      </c>
      <c r="E34">
        <v>1212.29</v>
      </c>
      <c r="F34" t="s">
        <v>35</v>
      </c>
    </row>
    <row r="35" spans="1:6" x14ac:dyDescent="0.3">
      <c r="A35" t="s">
        <v>67</v>
      </c>
      <c r="B35" t="s">
        <v>45</v>
      </c>
      <c r="C35" t="s">
        <v>46</v>
      </c>
      <c r="D35" s="1">
        <v>45552</v>
      </c>
      <c r="E35">
        <v>1746.67</v>
      </c>
      <c r="F35" t="s">
        <v>48</v>
      </c>
    </row>
    <row r="36" spans="1:6" x14ac:dyDescent="0.3">
      <c r="A36" t="s">
        <v>4</v>
      </c>
      <c r="B36" t="s">
        <v>50</v>
      </c>
      <c r="C36" t="s">
        <v>66</v>
      </c>
      <c r="D36" s="1">
        <v>45294</v>
      </c>
      <c r="E36">
        <v>644.54</v>
      </c>
      <c r="F36" t="s">
        <v>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424C-FB10-494F-BB2F-086960C99C81}">
  <dimension ref="A1:D13"/>
  <sheetViews>
    <sheetView workbookViewId="0">
      <selection activeCell="I27" sqref="I27"/>
    </sheetView>
  </sheetViews>
  <sheetFormatPr defaultRowHeight="14" x14ac:dyDescent="0.3"/>
  <cols>
    <col min="1" max="1" width="15.58203125" bestFit="1" customWidth="1"/>
    <col min="2" max="2" width="31.83203125" bestFit="1" customWidth="1"/>
    <col min="3" max="3" width="11.5" bestFit="1" customWidth="1"/>
    <col min="4" max="4" width="10.4140625" bestFit="1" customWidth="1"/>
  </cols>
  <sheetData>
    <row r="1" spans="1:4" x14ac:dyDescent="0.3">
      <c r="A1" t="s">
        <v>1</v>
      </c>
      <c r="B1" t="s">
        <v>68</v>
      </c>
      <c r="C1" t="s">
        <v>69</v>
      </c>
      <c r="D1" t="s">
        <v>31</v>
      </c>
    </row>
    <row r="2" spans="1:4" x14ac:dyDescent="0.3">
      <c r="A2">
        <v>1001</v>
      </c>
      <c r="B2" t="s">
        <v>70</v>
      </c>
      <c r="C2" t="s">
        <v>71</v>
      </c>
      <c r="D2" t="s">
        <v>35</v>
      </c>
    </row>
    <row r="3" spans="1:4" x14ac:dyDescent="0.3">
      <c r="A3">
        <v>1002</v>
      </c>
      <c r="B3" t="s">
        <v>72</v>
      </c>
      <c r="C3" t="s">
        <v>71</v>
      </c>
      <c r="D3" t="s">
        <v>35</v>
      </c>
    </row>
    <row r="4" spans="1:4" x14ac:dyDescent="0.3">
      <c r="A4">
        <v>1003</v>
      </c>
      <c r="B4" t="s">
        <v>73</v>
      </c>
      <c r="C4" t="s">
        <v>74</v>
      </c>
      <c r="D4" t="s">
        <v>48</v>
      </c>
    </row>
    <row r="5" spans="1:4" x14ac:dyDescent="0.3">
      <c r="A5">
        <v>1004</v>
      </c>
      <c r="B5" t="s">
        <v>75</v>
      </c>
      <c r="C5" t="s">
        <v>76</v>
      </c>
      <c r="D5" t="s">
        <v>48</v>
      </c>
    </row>
    <row r="6" spans="1:4" x14ac:dyDescent="0.3">
      <c r="A6">
        <v>1005</v>
      </c>
      <c r="B6" t="s">
        <v>77</v>
      </c>
      <c r="C6" t="s">
        <v>76</v>
      </c>
      <c r="D6" t="s">
        <v>35</v>
      </c>
    </row>
    <row r="7" spans="1:4" x14ac:dyDescent="0.3">
      <c r="A7">
        <v>1006</v>
      </c>
      <c r="B7" t="s">
        <v>78</v>
      </c>
      <c r="C7" t="s">
        <v>76</v>
      </c>
      <c r="D7" t="s">
        <v>48</v>
      </c>
    </row>
    <row r="8" spans="1:4" x14ac:dyDescent="0.3">
      <c r="A8">
        <v>1007</v>
      </c>
      <c r="B8" t="s">
        <v>79</v>
      </c>
      <c r="C8" t="s">
        <v>71</v>
      </c>
      <c r="D8" t="s">
        <v>35</v>
      </c>
    </row>
    <row r="9" spans="1:4" x14ac:dyDescent="0.3">
      <c r="A9">
        <v>1008</v>
      </c>
      <c r="B9" t="s">
        <v>80</v>
      </c>
      <c r="C9" t="s">
        <v>71</v>
      </c>
      <c r="D9" t="s">
        <v>48</v>
      </c>
    </row>
    <row r="10" spans="1:4" x14ac:dyDescent="0.3">
      <c r="A10">
        <v>1009</v>
      </c>
      <c r="B10" t="s">
        <v>81</v>
      </c>
      <c r="C10" t="s">
        <v>82</v>
      </c>
      <c r="D10" t="s">
        <v>48</v>
      </c>
    </row>
    <row r="11" spans="1:4" x14ac:dyDescent="0.3">
      <c r="A11">
        <v>1010</v>
      </c>
      <c r="B11" t="s">
        <v>83</v>
      </c>
      <c r="C11" t="s">
        <v>71</v>
      </c>
      <c r="D11" t="s">
        <v>48</v>
      </c>
    </row>
    <row r="12" spans="1:4" x14ac:dyDescent="0.3">
      <c r="A12">
        <v>1011</v>
      </c>
      <c r="B12" t="s">
        <v>84</v>
      </c>
      <c r="C12" t="s">
        <v>71</v>
      </c>
      <c r="D12" t="s">
        <v>48</v>
      </c>
    </row>
    <row r="13" spans="1:4" x14ac:dyDescent="0.3">
      <c r="A13">
        <v>1012</v>
      </c>
      <c r="B13" t="s">
        <v>85</v>
      </c>
      <c r="C13" t="s">
        <v>71</v>
      </c>
      <c r="D13" t="s">
        <v>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E602-B86E-4727-9F51-EAACDD0B005C}">
  <dimension ref="A3:E11"/>
  <sheetViews>
    <sheetView topLeftCell="A2" workbookViewId="0">
      <selection activeCell="F11" sqref="F11"/>
    </sheetView>
  </sheetViews>
  <sheetFormatPr defaultRowHeight="14" x14ac:dyDescent="0.3"/>
  <cols>
    <col min="1" max="1" width="16.58203125" bestFit="1" customWidth="1"/>
    <col min="2" max="2" width="17" bestFit="1" customWidth="1"/>
    <col min="3" max="3" width="8.9140625" bestFit="1" customWidth="1"/>
    <col min="4" max="4" width="9" bestFit="1" customWidth="1"/>
    <col min="5" max="5" width="7.33203125" bestFit="1" customWidth="1"/>
    <col min="6" max="24" width="6.4140625" bestFit="1" customWidth="1"/>
    <col min="25" max="25" width="4.83203125" bestFit="1" customWidth="1"/>
  </cols>
  <sheetData>
    <row r="3" spans="1:5" x14ac:dyDescent="0.3">
      <c r="A3" s="10" t="s">
        <v>90</v>
      </c>
      <c r="B3" s="10" t="s">
        <v>86</v>
      </c>
    </row>
    <row r="4" spans="1:5" x14ac:dyDescent="0.3">
      <c r="A4" s="10" t="s">
        <v>27</v>
      </c>
      <c r="B4" t="s">
        <v>35</v>
      </c>
      <c r="C4" t="s">
        <v>48</v>
      </c>
      <c r="D4" t="s">
        <v>38</v>
      </c>
      <c r="E4" t="s">
        <v>89</v>
      </c>
    </row>
    <row r="5" spans="1:5" x14ac:dyDescent="0.3">
      <c r="A5" s="11" t="s">
        <v>50</v>
      </c>
      <c r="B5" s="15">
        <v>7</v>
      </c>
      <c r="C5" s="15">
        <v>3</v>
      </c>
      <c r="D5" s="15">
        <v>2</v>
      </c>
      <c r="E5" s="15">
        <v>12</v>
      </c>
    </row>
    <row r="6" spans="1:5" x14ac:dyDescent="0.3">
      <c r="A6" s="11" t="s">
        <v>43</v>
      </c>
      <c r="B6" s="15">
        <v>9</v>
      </c>
      <c r="C6" s="15">
        <v>2</v>
      </c>
      <c r="D6" s="15">
        <v>1</v>
      </c>
      <c r="E6" s="15">
        <v>12</v>
      </c>
    </row>
    <row r="7" spans="1:5" x14ac:dyDescent="0.3">
      <c r="A7" s="11" t="s">
        <v>41</v>
      </c>
      <c r="B7" s="15"/>
      <c r="C7" s="15">
        <v>4</v>
      </c>
      <c r="D7" s="15">
        <v>6</v>
      </c>
      <c r="E7" s="15">
        <v>10</v>
      </c>
    </row>
    <row r="8" spans="1:5" x14ac:dyDescent="0.3">
      <c r="A8" s="11" t="s">
        <v>60</v>
      </c>
      <c r="B8" s="15">
        <v>2</v>
      </c>
      <c r="C8" s="15"/>
      <c r="D8" s="15">
        <v>2</v>
      </c>
      <c r="E8" s="15">
        <v>4</v>
      </c>
    </row>
    <row r="9" spans="1:5" x14ac:dyDescent="0.3">
      <c r="A9" s="11" t="s">
        <v>45</v>
      </c>
      <c r="B9" s="15"/>
      <c r="C9" s="15"/>
      <c r="D9" s="15">
        <v>4</v>
      </c>
      <c r="E9" s="15">
        <v>4</v>
      </c>
    </row>
    <row r="10" spans="1:5" x14ac:dyDescent="0.3">
      <c r="A10" s="11" t="s">
        <v>33</v>
      </c>
      <c r="B10" s="15"/>
      <c r="C10" s="15">
        <v>2</v>
      </c>
      <c r="D10" s="15">
        <v>1</v>
      </c>
      <c r="E10" s="15">
        <v>3</v>
      </c>
    </row>
    <row r="11" spans="1:5" x14ac:dyDescent="0.3">
      <c r="A11" s="11" t="s">
        <v>89</v>
      </c>
      <c r="B11" s="15">
        <v>18</v>
      </c>
      <c r="C11" s="15">
        <v>11</v>
      </c>
      <c r="D11" s="15">
        <v>16</v>
      </c>
      <c r="E11" s="15">
        <v>45</v>
      </c>
    </row>
  </sheetData>
  <phoneticPr fontId="2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3562-E9AC-4C6F-9DDA-F2B0BF06CB90}">
  <dimension ref="A1:B5"/>
  <sheetViews>
    <sheetView tabSelected="1" workbookViewId="0">
      <selection activeCell="A4" sqref="A4"/>
    </sheetView>
  </sheetViews>
  <sheetFormatPr defaultRowHeight="14" x14ac:dyDescent="0.3"/>
  <cols>
    <col min="1" max="1" width="21.33203125" bestFit="1" customWidth="1"/>
    <col min="2" max="2" width="8.83203125" bestFit="1" customWidth="1"/>
  </cols>
  <sheetData>
    <row r="1" spans="1:2" x14ac:dyDescent="0.3">
      <c r="A1" s="10" t="s">
        <v>3</v>
      </c>
      <c r="B1" t="s">
        <v>92</v>
      </c>
    </row>
    <row r="2" spans="1:2" x14ac:dyDescent="0.3">
      <c r="A2" s="10" t="s">
        <v>27</v>
      </c>
      <c r="B2" t="s">
        <v>41</v>
      </c>
    </row>
    <row r="4" spans="1:2" x14ac:dyDescent="0.3">
      <c r="A4" t="s">
        <v>91</v>
      </c>
    </row>
    <row r="5" spans="1:2" x14ac:dyDescent="0.3">
      <c r="A5" s="15">
        <v>9113.35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D7C3-9520-41E7-83FE-109439FB457E}">
  <dimension ref="A1:M46"/>
  <sheetViews>
    <sheetView topLeftCell="A3" workbookViewId="0">
      <selection activeCell="D2" sqref="D2"/>
    </sheetView>
  </sheetViews>
  <sheetFormatPr defaultRowHeight="14" x14ac:dyDescent="0.3"/>
  <cols>
    <col min="1" max="1" width="16" bestFit="1" customWidth="1"/>
    <col min="2" max="2" width="15.58203125" bestFit="1" customWidth="1"/>
    <col min="3" max="3" width="13.5" bestFit="1" customWidth="1"/>
    <col min="4" max="4" width="14.58203125" bestFit="1" customWidth="1"/>
    <col min="5" max="5" width="11.4140625" bestFit="1" customWidth="1"/>
    <col min="6" max="6" width="14.9140625" bestFit="1" customWidth="1"/>
    <col min="7" max="7" width="12.33203125" bestFit="1" customWidth="1"/>
    <col min="8" max="8" width="17.08203125" bestFit="1" customWidth="1"/>
    <col min="9" max="9" width="17" bestFit="1" customWidth="1"/>
    <col min="10" max="10" width="31.83203125" bestFit="1" customWidth="1"/>
    <col min="11" max="11" width="11.5" bestFit="1" customWidth="1"/>
    <col min="12" max="12" width="21.1640625" bestFit="1" customWidth="1"/>
    <col min="13" max="13" width="28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  <c r="I1" t="s">
        <v>86</v>
      </c>
      <c r="J1" t="s">
        <v>68</v>
      </c>
      <c r="K1" t="s">
        <v>69</v>
      </c>
      <c r="L1" t="s">
        <v>87</v>
      </c>
      <c r="M1" t="s">
        <v>88</v>
      </c>
    </row>
    <row r="2" spans="1:13" x14ac:dyDescent="0.3">
      <c r="A2" t="s">
        <v>4</v>
      </c>
      <c r="B2">
        <v>1009</v>
      </c>
      <c r="C2" s="1">
        <v>45421</v>
      </c>
      <c r="D2" s="1"/>
      <c r="E2" t="s">
        <v>50</v>
      </c>
      <c r="F2" t="s">
        <v>66</v>
      </c>
      <c r="G2" s="1">
        <v>45294</v>
      </c>
      <c r="H2">
        <v>644.54</v>
      </c>
      <c r="I2" t="s">
        <v>35</v>
      </c>
      <c r="J2" t="s">
        <v>81</v>
      </c>
      <c r="K2" t="s">
        <v>82</v>
      </c>
      <c r="L2" t="s">
        <v>48</v>
      </c>
      <c r="M2">
        <f t="shared" ref="M2" si="0">SUMIFS(H2:H46, D2:D46, "")</f>
        <v>14460.649999999998</v>
      </c>
    </row>
    <row r="3" spans="1:13" x14ac:dyDescent="0.3">
      <c r="A3" t="s">
        <v>9</v>
      </c>
      <c r="B3">
        <v>1009</v>
      </c>
      <c r="C3" s="1">
        <v>45389</v>
      </c>
      <c r="D3" s="1"/>
      <c r="E3" t="s">
        <v>43</v>
      </c>
      <c r="F3" t="s">
        <v>44</v>
      </c>
      <c r="G3" s="1">
        <v>44503</v>
      </c>
      <c r="H3">
        <v>823.23</v>
      </c>
      <c r="I3" t="s">
        <v>35</v>
      </c>
      <c r="J3" t="s">
        <v>81</v>
      </c>
      <c r="K3" t="s">
        <v>82</v>
      </c>
      <c r="L3" t="s">
        <v>48</v>
      </c>
    </row>
    <row r="4" spans="1:13" x14ac:dyDescent="0.3">
      <c r="A4" t="s">
        <v>4</v>
      </c>
      <c r="B4">
        <v>1001</v>
      </c>
      <c r="C4" s="1">
        <v>45297</v>
      </c>
      <c r="D4" s="1"/>
      <c r="E4" t="s">
        <v>50</v>
      </c>
      <c r="F4" t="s">
        <v>66</v>
      </c>
      <c r="G4" s="1">
        <v>45294</v>
      </c>
      <c r="H4">
        <v>644.54</v>
      </c>
      <c r="I4" t="s">
        <v>35</v>
      </c>
      <c r="J4" t="s">
        <v>70</v>
      </c>
      <c r="K4" t="s">
        <v>71</v>
      </c>
      <c r="L4" t="s">
        <v>35</v>
      </c>
    </row>
    <row r="5" spans="1:13" x14ac:dyDescent="0.3">
      <c r="A5" t="s">
        <v>4</v>
      </c>
      <c r="B5">
        <v>1003</v>
      </c>
      <c r="C5" s="1">
        <v>45417</v>
      </c>
      <c r="D5" s="1"/>
      <c r="E5" t="s">
        <v>50</v>
      </c>
      <c r="F5" t="s">
        <v>66</v>
      </c>
      <c r="G5" s="1">
        <v>45294</v>
      </c>
      <c r="H5">
        <v>644.54</v>
      </c>
      <c r="I5" t="s">
        <v>35</v>
      </c>
      <c r="J5" t="s">
        <v>73</v>
      </c>
      <c r="K5" t="s">
        <v>74</v>
      </c>
      <c r="L5" t="s">
        <v>48</v>
      </c>
    </row>
    <row r="6" spans="1:13" x14ac:dyDescent="0.3">
      <c r="A6" t="s">
        <v>7</v>
      </c>
      <c r="B6">
        <v>1003</v>
      </c>
      <c r="C6" s="1">
        <v>45330</v>
      </c>
      <c r="D6" s="1">
        <v>45817</v>
      </c>
      <c r="E6" t="s">
        <v>43</v>
      </c>
      <c r="F6" t="s">
        <v>44</v>
      </c>
      <c r="G6" s="1">
        <v>45015</v>
      </c>
      <c r="H6">
        <v>1501.06</v>
      </c>
      <c r="I6" t="s">
        <v>35</v>
      </c>
      <c r="J6" t="s">
        <v>73</v>
      </c>
      <c r="K6" t="s">
        <v>74</v>
      </c>
      <c r="L6" t="s">
        <v>48</v>
      </c>
    </row>
    <row r="7" spans="1:13" x14ac:dyDescent="0.3">
      <c r="A7" t="s">
        <v>22</v>
      </c>
      <c r="B7">
        <v>1003</v>
      </c>
      <c r="C7" s="1">
        <v>45827</v>
      </c>
      <c r="D7" s="1">
        <v>45908</v>
      </c>
      <c r="E7" t="s">
        <v>41</v>
      </c>
      <c r="F7" t="s">
        <v>42</v>
      </c>
      <c r="G7" s="1">
        <v>45782</v>
      </c>
      <c r="H7">
        <v>1007.88</v>
      </c>
      <c r="I7" t="s">
        <v>38</v>
      </c>
      <c r="J7" t="s">
        <v>73</v>
      </c>
      <c r="K7" t="s">
        <v>74</v>
      </c>
      <c r="L7" t="s">
        <v>48</v>
      </c>
    </row>
    <row r="8" spans="1:13" x14ac:dyDescent="0.3">
      <c r="A8" t="s">
        <v>7</v>
      </c>
      <c r="B8">
        <v>1002</v>
      </c>
      <c r="C8" s="1">
        <v>45799</v>
      </c>
      <c r="D8" s="1">
        <v>45808</v>
      </c>
      <c r="E8" t="s">
        <v>43</v>
      </c>
      <c r="F8" t="s">
        <v>44</v>
      </c>
      <c r="G8" s="1">
        <v>45015</v>
      </c>
      <c r="H8">
        <v>1501.06</v>
      </c>
      <c r="I8" t="s">
        <v>35</v>
      </c>
      <c r="J8" t="s">
        <v>72</v>
      </c>
      <c r="K8" t="s">
        <v>71</v>
      </c>
      <c r="L8" t="s">
        <v>35</v>
      </c>
    </row>
    <row r="9" spans="1:13" x14ac:dyDescent="0.3">
      <c r="A9" t="s">
        <v>5</v>
      </c>
      <c r="B9">
        <v>1008</v>
      </c>
      <c r="C9" s="1">
        <v>45930</v>
      </c>
      <c r="D9" s="1">
        <v>45935</v>
      </c>
      <c r="E9" t="s">
        <v>60</v>
      </c>
      <c r="F9" t="s">
        <v>61</v>
      </c>
      <c r="G9" s="1">
        <v>44979</v>
      </c>
      <c r="H9">
        <v>1134.1600000000001</v>
      </c>
      <c r="I9" t="s">
        <v>38</v>
      </c>
      <c r="J9" t="s">
        <v>80</v>
      </c>
      <c r="K9" t="s">
        <v>71</v>
      </c>
      <c r="L9" t="s">
        <v>48</v>
      </c>
    </row>
    <row r="10" spans="1:13" x14ac:dyDescent="0.3">
      <c r="A10" t="s">
        <v>6</v>
      </c>
      <c r="B10">
        <v>1008</v>
      </c>
      <c r="C10" s="1">
        <v>45375</v>
      </c>
      <c r="D10" s="1"/>
      <c r="E10" t="s">
        <v>60</v>
      </c>
      <c r="F10" t="s">
        <v>63</v>
      </c>
      <c r="G10" s="1">
        <v>44621</v>
      </c>
      <c r="H10">
        <v>750.91</v>
      </c>
      <c r="I10" t="s">
        <v>35</v>
      </c>
      <c r="J10" t="s">
        <v>80</v>
      </c>
      <c r="K10" t="s">
        <v>71</v>
      </c>
      <c r="L10" t="s">
        <v>48</v>
      </c>
    </row>
    <row r="11" spans="1:13" x14ac:dyDescent="0.3">
      <c r="A11" t="s">
        <v>6</v>
      </c>
      <c r="B11">
        <v>1005</v>
      </c>
      <c r="C11" s="1">
        <v>45743</v>
      </c>
      <c r="D11" s="1">
        <v>45868</v>
      </c>
      <c r="E11" t="s">
        <v>60</v>
      </c>
      <c r="F11" t="s">
        <v>63</v>
      </c>
      <c r="G11" s="1">
        <v>44621</v>
      </c>
      <c r="H11">
        <v>750.91</v>
      </c>
      <c r="I11" t="s">
        <v>35</v>
      </c>
      <c r="J11" t="s">
        <v>77</v>
      </c>
      <c r="K11" t="s">
        <v>76</v>
      </c>
      <c r="L11" t="s">
        <v>35</v>
      </c>
    </row>
    <row r="12" spans="1:13" x14ac:dyDescent="0.3">
      <c r="A12" t="s">
        <v>9</v>
      </c>
      <c r="B12">
        <v>1006</v>
      </c>
      <c r="C12" s="1">
        <v>45892</v>
      </c>
      <c r="D12" s="1">
        <v>45922</v>
      </c>
      <c r="E12" t="s">
        <v>43</v>
      </c>
      <c r="F12" t="s">
        <v>44</v>
      </c>
      <c r="G12" s="1">
        <v>44503</v>
      </c>
      <c r="H12">
        <v>823.23</v>
      </c>
      <c r="I12" t="s">
        <v>35</v>
      </c>
      <c r="J12" t="s">
        <v>78</v>
      </c>
      <c r="K12" t="s">
        <v>76</v>
      </c>
      <c r="L12" t="s">
        <v>48</v>
      </c>
    </row>
    <row r="13" spans="1:13" x14ac:dyDescent="0.3">
      <c r="A13" t="s">
        <v>7</v>
      </c>
      <c r="B13">
        <v>1010</v>
      </c>
      <c r="C13" s="1">
        <v>45866</v>
      </c>
      <c r="D13" s="1"/>
      <c r="E13" t="s">
        <v>43</v>
      </c>
      <c r="F13" t="s">
        <v>44</v>
      </c>
      <c r="G13" s="1">
        <v>45015</v>
      </c>
      <c r="H13">
        <v>1501.06</v>
      </c>
      <c r="I13" t="s">
        <v>35</v>
      </c>
      <c r="J13" t="s">
        <v>83</v>
      </c>
      <c r="K13" t="s">
        <v>71</v>
      </c>
      <c r="L13" t="s">
        <v>48</v>
      </c>
    </row>
    <row r="14" spans="1:13" x14ac:dyDescent="0.3">
      <c r="A14" t="s">
        <v>8</v>
      </c>
      <c r="B14">
        <v>1012</v>
      </c>
      <c r="C14" s="1">
        <v>45808</v>
      </c>
      <c r="D14" s="1">
        <v>45818</v>
      </c>
      <c r="E14" t="s">
        <v>45</v>
      </c>
      <c r="F14" t="s">
        <v>46</v>
      </c>
      <c r="G14" s="1">
        <v>45292</v>
      </c>
      <c r="H14">
        <v>1257.96</v>
      </c>
      <c r="I14" t="s">
        <v>38</v>
      </c>
      <c r="J14" t="s">
        <v>85</v>
      </c>
      <c r="K14" t="s">
        <v>71</v>
      </c>
      <c r="L14" t="s">
        <v>38</v>
      </c>
    </row>
    <row r="15" spans="1:13" x14ac:dyDescent="0.3">
      <c r="A15" t="s">
        <v>9</v>
      </c>
      <c r="B15">
        <v>1012</v>
      </c>
      <c r="C15" s="1">
        <v>45599</v>
      </c>
      <c r="D15" s="1"/>
      <c r="E15" t="s">
        <v>43</v>
      </c>
      <c r="F15" t="s">
        <v>44</v>
      </c>
      <c r="G15" s="1">
        <v>44503</v>
      </c>
      <c r="H15">
        <v>823.23</v>
      </c>
      <c r="I15" t="s">
        <v>35</v>
      </c>
      <c r="J15" t="s">
        <v>85</v>
      </c>
      <c r="K15" t="s">
        <v>71</v>
      </c>
      <c r="L15" t="s">
        <v>38</v>
      </c>
    </row>
    <row r="16" spans="1:13" x14ac:dyDescent="0.3">
      <c r="A16" t="s">
        <v>10</v>
      </c>
      <c r="B16">
        <v>1011</v>
      </c>
      <c r="C16" s="1">
        <v>45850</v>
      </c>
      <c r="D16" s="1">
        <v>45853</v>
      </c>
      <c r="E16" t="s">
        <v>41</v>
      </c>
      <c r="F16" t="s">
        <v>42</v>
      </c>
      <c r="G16" s="1">
        <v>45026</v>
      </c>
      <c r="H16">
        <v>1458.02</v>
      </c>
      <c r="I16" t="s">
        <v>38</v>
      </c>
      <c r="J16" t="s">
        <v>84</v>
      </c>
      <c r="K16" t="s">
        <v>71</v>
      </c>
      <c r="L16" t="s">
        <v>48</v>
      </c>
    </row>
    <row r="17" spans="1:12" x14ac:dyDescent="0.3">
      <c r="A17" t="s">
        <v>21</v>
      </c>
      <c r="B17">
        <v>1001</v>
      </c>
      <c r="C17" s="1">
        <v>45544</v>
      </c>
      <c r="D17" s="1">
        <v>45854</v>
      </c>
      <c r="E17" t="s">
        <v>41</v>
      </c>
      <c r="F17" t="s">
        <v>47</v>
      </c>
      <c r="G17" s="1">
        <v>44360</v>
      </c>
      <c r="H17">
        <v>869.09</v>
      </c>
      <c r="I17" t="s">
        <v>48</v>
      </c>
      <c r="J17" t="s">
        <v>70</v>
      </c>
      <c r="K17" t="s">
        <v>71</v>
      </c>
      <c r="L17" t="s">
        <v>35</v>
      </c>
    </row>
    <row r="18" spans="1:12" x14ac:dyDescent="0.3">
      <c r="A18" t="s">
        <v>21</v>
      </c>
      <c r="B18">
        <v>1001</v>
      </c>
      <c r="C18" s="1">
        <v>45880</v>
      </c>
      <c r="D18" s="1"/>
      <c r="E18" t="s">
        <v>41</v>
      </c>
      <c r="F18" t="s">
        <v>47</v>
      </c>
      <c r="G18" s="1">
        <v>44360</v>
      </c>
      <c r="H18">
        <v>869.09</v>
      </c>
      <c r="I18" t="s">
        <v>48</v>
      </c>
      <c r="J18" t="s">
        <v>70</v>
      </c>
      <c r="K18" t="s">
        <v>71</v>
      </c>
      <c r="L18" t="s">
        <v>35</v>
      </c>
    </row>
    <row r="19" spans="1:12" x14ac:dyDescent="0.3">
      <c r="A19" t="s">
        <v>11</v>
      </c>
      <c r="B19">
        <v>1005</v>
      </c>
      <c r="C19" s="1">
        <v>45837</v>
      </c>
      <c r="D19" s="1">
        <v>45898</v>
      </c>
      <c r="E19" t="s">
        <v>43</v>
      </c>
      <c r="F19" t="s">
        <v>53</v>
      </c>
      <c r="G19" s="1">
        <v>45909</v>
      </c>
      <c r="H19">
        <v>1417.1</v>
      </c>
      <c r="I19" t="s">
        <v>38</v>
      </c>
      <c r="J19" t="s">
        <v>77</v>
      </c>
      <c r="K19" t="s">
        <v>76</v>
      </c>
      <c r="L19" t="s">
        <v>35</v>
      </c>
    </row>
    <row r="20" spans="1:12" x14ac:dyDescent="0.3">
      <c r="A20" t="s">
        <v>12</v>
      </c>
      <c r="B20">
        <v>1004</v>
      </c>
      <c r="C20" s="1">
        <v>45523</v>
      </c>
      <c r="D20" s="1"/>
      <c r="E20" t="s">
        <v>50</v>
      </c>
      <c r="F20" t="s">
        <v>51</v>
      </c>
      <c r="G20" s="1">
        <v>44945</v>
      </c>
      <c r="H20">
        <v>1246.58</v>
      </c>
      <c r="I20" t="s">
        <v>48</v>
      </c>
      <c r="J20" t="s">
        <v>75</v>
      </c>
      <c r="K20" t="s">
        <v>76</v>
      </c>
      <c r="L20" t="s">
        <v>48</v>
      </c>
    </row>
    <row r="21" spans="1:12" x14ac:dyDescent="0.3">
      <c r="A21" t="s">
        <v>12</v>
      </c>
      <c r="B21">
        <v>1006</v>
      </c>
      <c r="C21" s="1">
        <v>45630</v>
      </c>
      <c r="D21" s="1">
        <v>45732</v>
      </c>
      <c r="E21" t="s">
        <v>50</v>
      </c>
      <c r="F21" t="s">
        <v>51</v>
      </c>
      <c r="G21" s="1">
        <v>44945</v>
      </c>
      <c r="H21">
        <v>1246.58</v>
      </c>
      <c r="I21" t="s">
        <v>48</v>
      </c>
      <c r="J21" t="s">
        <v>78</v>
      </c>
      <c r="K21" t="s">
        <v>76</v>
      </c>
      <c r="L21" t="s">
        <v>48</v>
      </c>
    </row>
    <row r="22" spans="1:12" x14ac:dyDescent="0.3">
      <c r="A22" t="s">
        <v>12</v>
      </c>
      <c r="B22">
        <v>1003</v>
      </c>
      <c r="C22" s="1">
        <v>45595</v>
      </c>
      <c r="D22" s="1">
        <v>45630</v>
      </c>
      <c r="E22" t="s">
        <v>50</v>
      </c>
      <c r="F22" t="s">
        <v>51</v>
      </c>
      <c r="G22" s="1">
        <v>44945</v>
      </c>
      <c r="H22">
        <v>1246.58</v>
      </c>
      <c r="I22" t="s">
        <v>48</v>
      </c>
      <c r="J22" t="s">
        <v>73</v>
      </c>
      <c r="K22" t="s">
        <v>74</v>
      </c>
      <c r="L22" t="s">
        <v>48</v>
      </c>
    </row>
    <row r="23" spans="1:12" x14ac:dyDescent="0.3">
      <c r="A23" t="s">
        <v>13</v>
      </c>
      <c r="B23">
        <v>1012</v>
      </c>
      <c r="C23" s="1">
        <v>45419</v>
      </c>
      <c r="D23" s="1">
        <v>45470</v>
      </c>
      <c r="E23" t="s">
        <v>43</v>
      </c>
      <c r="F23" t="s">
        <v>44</v>
      </c>
      <c r="G23" s="1">
        <v>44332</v>
      </c>
      <c r="H23">
        <v>1898.65</v>
      </c>
      <c r="I23" t="s">
        <v>48</v>
      </c>
      <c r="J23" t="s">
        <v>85</v>
      </c>
      <c r="K23" t="s">
        <v>71</v>
      </c>
      <c r="L23" t="s">
        <v>38</v>
      </c>
    </row>
    <row r="24" spans="1:12" x14ac:dyDescent="0.3">
      <c r="A24" t="s">
        <v>13</v>
      </c>
      <c r="B24">
        <v>1009</v>
      </c>
      <c r="C24" s="1">
        <v>45319</v>
      </c>
      <c r="D24" s="1">
        <v>45714</v>
      </c>
      <c r="E24" t="s">
        <v>43</v>
      </c>
      <c r="F24" t="s">
        <v>44</v>
      </c>
      <c r="G24" s="1">
        <v>44332</v>
      </c>
      <c r="H24">
        <v>1898.65</v>
      </c>
      <c r="I24" t="s">
        <v>48</v>
      </c>
      <c r="J24" t="s">
        <v>81</v>
      </c>
      <c r="K24" t="s">
        <v>82</v>
      </c>
      <c r="L24" t="s">
        <v>48</v>
      </c>
    </row>
    <row r="25" spans="1:12" x14ac:dyDescent="0.3">
      <c r="A25" t="s">
        <v>14</v>
      </c>
      <c r="B25">
        <v>1002</v>
      </c>
      <c r="C25" s="1">
        <v>45921</v>
      </c>
      <c r="D25" s="1">
        <v>45934</v>
      </c>
      <c r="E25" t="s">
        <v>41</v>
      </c>
      <c r="F25" t="s">
        <v>47</v>
      </c>
      <c r="G25" s="1">
        <v>44337</v>
      </c>
      <c r="H25">
        <v>1553.15</v>
      </c>
      <c r="I25" t="s">
        <v>48</v>
      </c>
      <c r="J25" t="s">
        <v>72</v>
      </c>
      <c r="K25" t="s">
        <v>71</v>
      </c>
      <c r="L25" t="s">
        <v>35</v>
      </c>
    </row>
    <row r="26" spans="1:12" x14ac:dyDescent="0.3">
      <c r="A26" t="s">
        <v>15</v>
      </c>
      <c r="B26">
        <v>1010</v>
      </c>
      <c r="C26" s="1">
        <v>45377</v>
      </c>
      <c r="D26" s="1">
        <v>45886</v>
      </c>
      <c r="E26" t="s">
        <v>45</v>
      </c>
      <c r="F26" t="s">
        <v>55</v>
      </c>
      <c r="G26" s="1">
        <v>44824</v>
      </c>
      <c r="H26">
        <v>661.44</v>
      </c>
      <c r="I26" t="s">
        <v>38</v>
      </c>
      <c r="J26" t="s">
        <v>83</v>
      </c>
      <c r="K26" t="s">
        <v>71</v>
      </c>
      <c r="L26" t="s">
        <v>48</v>
      </c>
    </row>
    <row r="27" spans="1:12" x14ac:dyDescent="0.3">
      <c r="A27" t="s">
        <v>15</v>
      </c>
      <c r="B27">
        <v>1002</v>
      </c>
      <c r="C27" s="1">
        <v>45519</v>
      </c>
      <c r="D27" s="1"/>
      <c r="E27" t="s">
        <v>45</v>
      </c>
      <c r="F27" t="s">
        <v>55</v>
      </c>
      <c r="G27" s="1">
        <v>44824</v>
      </c>
      <c r="H27">
        <v>661.44</v>
      </c>
      <c r="I27" t="s">
        <v>38</v>
      </c>
      <c r="J27" t="s">
        <v>72</v>
      </c>
      <c r="K27" t="s">
        <v>71</v>
      </c>
      <c r="L27" t="s">
        <v>35</v>
      </c>
    </row>
    <row r="28" spans="1:12" x14ac:dyDescent="0.3">
      <c r="A28" t="s">
        <v>16</v>
      </c>
      <c r="B28">
        <v>1002</v>
      </c>
      <c r="C28" s="1">
        <v>45899</v>
      </c>
      <c r="D28" s="1">
        <v>45930</v>
      </c>
      <c r="E28" t="s">
        <v>33</v>
      </c>
      <c r="F28" t="s">
        <v>40</v>
      </c>
      <c r="G28" s="1">
        <v>45524</v>
      </c>
      <c r="H28">
        <v>1591.98</v>
      </c>
      <c r="I28" t="s">
        <v>48</v>
      </c>
      <c r="J28" t="s">
        <v>72</v>
      </c>
      <c r="K28" t="s">
        <v>71</v>
      </c>
      <c r="L28" t="s">
        <v>35</v>
      </c>
    </row>
    <row r="29" spans="1:12" x14ac:dyDescent="0.3">
      <c r="A29" t="s">
        <v>16</v>
      </c>
      <c r="B29">
        <v>1002</v>
      </c>
      <c r="C29" s="1">
        <v>45493</v>
      </c>
      <c r="D29" s="1">
        <v>45663</v>
      </c>
      <c r="E29" t="s">
        <v>33</v>
      </c>
      <c r="F29" t="s">
        <v>40</v>
      </c>
      <c r="G29" s="1">
        <v>45524</v>
      </c>
      <c r="H29">
        <v>1591.98</v>
      </c>
      <c r="I29" t="s">
        <v>48</v>
      </c>
      <c r="J29" t="s">
        <v>72</v>
      </c>
      <c r="K29" t="s">
        <v>71</v>
      </c>
      <c r="L29" t="s">
        <v>35</v>
      </c>
    </row>
    <row r="30" spans="1:12" x14ac:dyDescent="0.3">
      <c r="A30" t="s">
        <v>17</v>
      </c>
      <c r="B30">
        <v>1011</v>
      </c>
      <c r="C30" s="1">
        <v>45568</v>
      </c>
      <c r="D30" s="1">
        <v>45623</v>
      </c>
      <c r="E30" t="s">
        <v>33</v>
      </c>
      <c r="F30" t="s">
        <v>40</v>
      </c>
      <c r="G30" s="1">
        <v>44839</v>
      </c>
      <c r="H30">
        <v>1688.07</v>
      </c>
      <c r="I30" t="s">
        <v>38</v>
      </c>
      <c r="J30" t="s">
        <v>84</v>
      </c>
      <c r="K30" t="s">
        <v>71</v>
      </c>
      <c r="L30" t="s">
        <v>48</v>
      </c>
    </row>
    <row r="31" spans="1:12" x14ac:dyDescent="0.3">
      <c r="A31" t="s">
        <v>18</v>
      </c>
      <c r="B31">
        <v>1004</v>
      </c>
      <c r="C31" s="1">
        <v>45320</v>
      </c>
      <c r="D31" s="1"/>
      <c r="E31" t="s">
        <v>41</v>
      </c>
      <c r="F31" t="s">
        <v>65</v>
      </c>
      <c r="G31" s="1">
        <v>45775</v>
      </c>
      <c r="H31">
        <v>1095.6199999999999</v>
      </c>
      <c r="I31" t="s">
        <v>38</v>
      </c>
      <c r="J31" t="s">
        <v>75</v>
      </c>
      <c r="K31" t="s">
        <v>76</v>
      </c>
      <c r="L31" t="s">
        <v>48</v>
      </c>
    </row>
    <row r="32" spans="1:12" x14ac:dyDescent="0.3">
      <c r="A32" t="s">
        <v>18</v>
      </c>
      <c r="B32">
        <v>1004</v>
      </c>
      <c r="C32" s="1">
        <v>45336</v>
      </c>
      <c r="D32" s="1"/>
      <c r="E32" t="s">
        <v>41</v>
      </c>
      <c r="F32" t="s">
        <v>65</v>
      </c>
      <c r="G32" s="1">
        <v>45775</v>
      </c>
      <c r="H32">
        <v>1095.6199999999999</v>
      </c>
      <c r="I32" t="s">
        <v>38</v>
      </c>
      <c r="J32" t="s">
        <v>75</v>
      </c>
      <c r="K32" t="s">
        <v>76</v>
      </c>
      <c r="L32" t="s">
        <v>48</v>
      </c>
    </row>
    <row r="33" spans="1:12" x14ac:dyDescent="0.3">
      <c r="A33" t="s">
        <v>19</v>
      </c>
      <c r="B33">
        <v>1004</v>
      </c>
      <c r="C33" s="1">
        <v>45403</v>
      </c>
      <c r="D33" s="1">
        <v>45839</v>
      </c>
      <c r="E33" t="s">
        <v>60</v>
      </c>
      <c r="F33" t="s">
        <v>61</v>
      </c>
      <c r="G33" s="1">
        <v>44766</v>
      </c>
      <c r="H33">
        <v>501.64</v>
      </c>
      <c r="I33" t="s">
        <v>38</v>
      </c>
      <c r="J33" t="s">
        <v>75</v>
      </c>
      <c r="K33" t="s">
        <v>76</v>
      </c>
      <c r="L33" t="s">
        <v>48</v>
      </c>
    </row>
    <row r="34" spans="1:12" x14ac:dyDescent="0.3">
      <c r="A34" t="s">
        <v>20</v>
      </c>
      <c r="B34">
        <v>1012</v>
      </c>
      <c r="C34" s="1">
        <v>45792</v>
      </c>
      <c r="D34" s="1">
        <v>45905</v>
      </c>
      <c r="E34" t="s">
        <v>50</v>
      </c>
      <c r="F34" t="s">
        <v>51</v>
      </c>
      <c r="G34" s="1">
        <v>44647</v>
      </c>
      <c r="H34">
        <v>1629.76</v>
      </c>
      <c r="I34" t="s">
        <v>38</v>
      </c>
      <c r="J34" t="s">
        <v>85</v>
      </c>
      <c r="K34" t="s">
        <v>71</v>
      </c>
      <c r="L34" t="s">
        <v>38</v>
      </c>
    </row>
    <row r="35" spans="1:12" x14ac:dyDescent="0.3">
      <c r="A35" t="s">
        <v>20</v>
      </c>
      <c r="B35">
        <v>1005</v>
      </c>
      <c r="C35" s="1">
        <v>45261</v>
      </c>
      <c r="D35" s="1">
        <v>45559</v>
      </c>
      <c r="E35" t="s">
        <v>50</v>
      </c>
      <c r="F35" t="s">
        <v>51</v>
      </c>
      <c r="G35" s="1">
        <v>44647</v>
      </c>
      <c r="H35">
        <v>1629.76</v>
      </c>
      <c r="I35" t="s">
        <v>38</v>
      </c>
      <c r="J35" t="s">
        <v>77</v>
      </c>
      <c r="K35" t="s">
        <v>76</v>
      </c>
      <c r="L35" t="s">
        <v>35</v>
      </c>
    </row>
    <row r="36" spans="1:12" x14ac:dyDescent="0.3">
      <c r="A36" t="s">
        <v>23</v>
      </c>
      <c r="B36">
        <v>1005</v>
      </c>
      <c r="C36" s="1">
        <v>45675</v>
      </c>
      <c r="D36" s="1"/>
      <c r="E36" t="s">
        <v>50</v>
      </c>
      <c r="F36" t="s">
        <v>51</v>
      </c>
      <c r="G36" s="1">
        <v>45266</v>
      </c>
      <c r="H36">
        <v>545.46</v>
      </c>
      <c r="I36" t="s">
        <v>35</v>
      </c>
      <c r="J36" t="s">
        <v>77</v>
      </c>
      <c r="K36" t="s">
        <v>76</v>
      </c>
      <c r="L36" t="s">
        <v>35</v>
      </c>
    </row>
    <row r="37" spans="1:12" x14ac:dyDescent="0.3">
      <c r="A37" t="s">
        <v>24</v>
      </c>
      <c r="B37">
        <v>1003</v>
      </c>
      <c r="C37" s="1">
        <v>45508</v>
      </c>
      <c r="D37" s="1">
        <v>45871</v>
      </c>
      <c r="E37" t="s">
        <v>41</v>
      </c>
      <c r="F37" t="s">
        <v>47</v>
      </c>
      <c r="G37" s="1">
        <v>44876</v>
      </c>
      <c r="H37">
        <v>1801.36</v>
      </c>
      <c r="I37" t="s">
        <v>38</v>
      </c>
      <c r="J37" t="s">
        <v>73</v>
      </c>
      <c r="K37" t="s">
        <v>74</v>
      </c>
      <c r="L37" t="s">
        <v>48</v>
      </c>
    </row>
    <row r="38" spans="1:12" x14ac:dyDescent="0.3">
      <c r="A38" t="s">
        <v>25</v>
      </c>
      <c r="B38">
        <v>1001</v>
      </c>
      <c r="C38" s="1">
        <v>45622</v>
      </c>
      <c r="D38" s="1">
        <v>45719</v>
      </c>
      <c r="E38" t="s">
        <v>41</v>
      </c>
      <c r="F38" t="s">
        <v>47</v>
      </c>
      <c r="G38" s="1">
        <v>44258</v>
      </c>
      <c r="H38">
        <v>1415.97</v>
      </c>
      <c r="I38" t="s">
        <v>48</v>
      </c>
      <c r="J38" t="s">
        <v>70</v>
      </c>
      <c r="K38" t="s">
        <v>71</v>
      </c>
      <c r="L38" t="s">
        <v>35</v>
      </c>
    </row>
    <row r="39" spans="1:12" x14ac:dyDescent="0.3">
      <c r="A39" t="s">
        <v>4</v>
      </c>
      <c r="B39">
        <v>1001</v>
      </c>
      <c r="C39" s="1">
        <v>45641</v>
      </c>
      <c r="D39" s="1"/>
      <c r="E39" t="s">
        <v>50</v>
      </c>
      <c r="F39" t="s">
        <v>66</v>
      </c>
      <c r="G39" s="1">
        <v>45294</v>
      </c>
      <c r="H39">
        <v>644.54</v>
      </c>
      <c r="I39" t="s">
        <v>35</v>
      </c>
      <c r="J39" t="s">
        <v>70</v>
      </c>
      <c r="K39" t="s">
        <v>71</v>
      </c>
      <c r="L39" t="s">
        <v>35</v>
      </c>
    </row>
    <row r="40" spans="1:12" x14ac:dyDescent="0.3">
      <c r="A40" t="s">
        <v>22</v>
      </c>
      <c r="B40">
        <v>1001</v>
      </c>
      <c r="C40" s="1">
        <v>45880</v>
      </c>
      <c r="D40" s="1">
        <v>45881</v>
      </c>
      <c r="E40" t="s">
        <v>41</v>
      </c>
      <c r="F40" t="s">
        <v>42</v>
      </c>
      <c r="G40" s="1">
        <v>45782</v>
      </c>
      <c r="H40">
        <v>1007.88</v>
      </c>
      <c r="I40" t="s">
        <v>38</v>
      </c>
      <c r="J40" t="s">
        <v>70</v>
      </c>
      <c r="K40" t="s">
        <v>71</v>
      </c>
      <c r="L40" t="s">
        <v>35</v>
      </c>
    </row>
    <row r="41" spans="1:12" x14ac:dyDescent="0.3">
      <c r="A41" t="s">
        <v>26</v>
      </c>
      <c r="B41">
        <v>1009</v>
      </c>
      <c r="C41" s="1">
        <v>45740</v>
      </c>
      <c r="D41" s="1">
        <v>45784</v>
      </c>
      <c r="E41" t="s">
        <v>50</v>
      </c>
      <c r="F41" t="s">
        <v>66</v>
      </c>
      <c r="G41" s="1">
        <v>44623</v>
      </c>
      <c r="H41">
        <v>1212.29</v>
      </c>
      <c r="I41" t="s">
        <v>35</v>
      </c>
      <c r="J41" t="s">
        <v>81</v>
      </c>
      <c r="K41" t="s">
        <v>82</v>
      </c>
      <c r="L41" t="s">
        <v>48</v>
      </c>
    </row>
    <row r="42" spans="1:12" x14ac:dyDescent="0.3">
      <c r="A42" t="s">
        <v>26</v>
      </c>
      <c r="B42">
        <v>1002</v>
      </c>
      <c r="C42" s="1">
        <v>45741</v>
      </c>
      <c r="D42" s="1"/>
      <c r="E42" t="s">
        <v>50</v>
      </c>
      <c r="F42" t="s">
        <v>66</v>
      </c>
      <c r="G42" s="1">
        <v>44623</v>
      </c>
      <c r="H42">
        <v>1212.29</v>
      </c>
      <c r="I42" t="s">
        <v>35</v>
      </c>
      <c r="J42" t="s">
        <v>72</v>
      </c>
      <c r="K42" t="s">
        <v>71</v>
      </c>
      <c r="L42" t="s">
        <v>35</v>
      </c>
    </row>
    <row r="43" spans="1:12" x14ac:dyDescent="0.3">
      <c r="A43" t="s">
        <v>9</v>
      </c>
      <c r="B43">
        <v>1010</v>
      </c>
      <c r="C43" s="1">
        <v>45899</v>
      </c>
      <c r="D43" s="1">
        <v>45925</v>
      </c>
      <c r="E43" t="s">
        <v>43</v>
      </c>
      <c r="F43" t="s">
        <v>44</v>
      </c>
      <c r="G43" s="1">
        <v>44503</v>
      </c>
      <c r="H43">
        <v>823.23</v>
      </c>
      <c r="I43" t="s">
        <v>35</v>
      </c>
      <c r="J43" t="s">
        <v>83</v>
      </c>
      <c r="K43" t="s">
        <v>71</v>
      </c>
      <c r="L43" t="s">
        <v>48</v>
      </c>
    </row>
    <row r="44" spans="1:12" x14ac:dyDescent="0.3">
      <c r="A44" t="s">
        <v>7</v>
      </c>
      <c r="B44">
        <v>1007</v>
      </c>
      <c r="C44" s="1">
        <v>45795</v>
      </c>
      <c r="D44" s="1">
        <v>45846</v>
      </c>
      <c r="E44" t="s">
        <v>43</v>
      </c>
      <c r="F44" t="s">
        <v>44</v>
      </c>
      <c r="G44" s="1">
        <v>45015</v>
      </c>
      <c r="H44">
        <v>1501.06</v>
      </c>
      <c r="I44" t="s">
        <v>35</v>
      </c>
      <c r="J44" t="s">
        <v>79</v>
      </c>
      <c r="K44" t="s">
        <v>71</v>
      </c>
      <c r="L44" t="s">
        <v>35</v>
      </c>
    </row>
    <row r="45" spans="1:12" x14ac:dyDescent="0.3">
      <c r="A45" t="s">
        <v>7</v>
      </c>
      <c r="B45">
        <v>1010</v>
      </c>
      <c r="C45" s="1">
        <v>45808</v>
      </c>
      <c r="D45" s="1">
        <v>45932</v>
      </c>
      <c r="E45" t="s">
        <v>43</v>
      </c>
      <c r="F45" t="s">
        <v>44</v>
      </c>
      <c r="G45" s="1">
        <v>45015</v>
      </c>
      <c r="H45">
        <v>1501.06</v>
      </c>
      <c r="I45" t="s">
        <v>35</v>
      </c>
      <c r="J45" t="s">
        <v>83</v>
      </c>
      <c r="K45" t="s">
        <v>71</v>
      </c>
      <c r="L45" t="s">
        <v>48</v>
      </c>
    </row>
    <row r="46" spans="1:12" x14ac:dyDescent="0.3">
      <c r="A46" t="s">
        <v>8</v>
      </c>
      <c r="B46">
        <v>1007</v>
      </c>
      <c r="C46" s="1">
        <v>45476</v>
      </c>
      <c r="D46" s="1"/>
      <c r="E46" t="s">
        <v>45</v>
      </c>
      <c r="F46" t="s">
        <v>46</v>
      </c>
      <c r="G46" s="1">
        <v>45292</v>
      </c>
      <c r="H46">
        <v>1257.96</v>
      </c>
      <c r="I46" t="s">
        <v>38</v>
      </c>
      <c r="J46" t="s">
        <v>79</v>
      </c>
      <c r="K46" t="s">
        <v>71</v>
      </c>
      <c r="L46" t="s">
        <v>35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6B39-4C3C-4F90-A1C8-1FF449D790DA}">
  <dimension ref="A1:L11"/>
  <sheetViews>
    <sheetView workbookViewId="0">
      <selection activeCell="G16" sqref="G16"/>
    </sheetView>
  </sheetViews>
  <sheetFormatPr defaultRowHeight="14" x14ac:dyDescent="0.3"/>
  <cols>
    <col min="3" max="3" width="10.75" customWidth="1"/>
    <col min="4" max="4" width="9.5" bestFit="1" customWidth="1"/>
    <col min="7" max="7" width="10" customWidth="1"/>
  </cols>
  <sheetData>
    <row r="1" spans="1:12" x14ac:dyDescent="0.3">
      <c r="A1" s="9" t="s">
        <v>0</v>
      </c>
      <c r="B1" s="8" t="s">
        <v>1</v>
      </c>
      <c r="C1" s="8" t="s">
        <v>2</v>
      </c>
      <c r="D1" s="8" t="s">
        <v>3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86</v>
      </c>
      <c r="J1" s="8" t="s">
        <v>68</v>
      </c>
      <c r="K1" s="8" t="s">
        <v>69</v>
      </c>
      <c r="L1" s="8" t="s">
        <v>87</v>
      </c>
    </row>
    <row r="2" spans="1:12" x14ac:dyDescent="0.3">
      <c r="A2" s="4" t="s">
        <v>22</v>
      </c>
      <c r="B2" s="2">
        <v>1003</v>
      </c>
      <c r="C2" s="5">
        <v>45827</v>
      </c>
      <c r="D2" s="5">
        <v>45908</v>
      </c>
      <c r="E2" s="2" t="s">
        <v>41</v>
      </c>
      <c r="F2" s="2" t="s">
        <v>42</v>
      </c>
      <c r="G2" s="5">
        <v>45782</v>
      </c>
      <c r="H2" s="2">
        <v>1007.88</v>
      </c>
      <c r="I2" s="2" t="s">
        <v>38</v>
      </c>
      <c r="J2" s="2" t="s">
        <v>73</v>
      </c>
      <c r="K2" s="2" t="s">
        <v>74</v>
      </c>
      <c r="L2" s="2" t="s">
        <v>48</v>
      </c>
    </row>
    <row r="3" spans="1:12" x14ac:dyDescent="0.3">
      <c r="A3" s="6" t="s">
        <v>10</v>
      </c>
      <c r="B3" s="3">
        <v>1011</v>
      </c>
      <c r="C3" s="7">
        <v>45850</v>
      </c>
      <c r="D3" s="7">
        <v>45853</v>
      </c>
      <c r="E3" s="3" t="s">
        <v>41</v>
      </c>
      <c r="F3" s="3" t="s">
        <v>42</v>
      </c>
      <c r="G3" s="7">
        <v>45026</v>
      </c>
      <c r="H3" s="3">
        <v>1458.02</v>
      </c>
      <c r="I3" s="3" t="s">
        <v>38</v>
      </c>
      <c r="J3" s="3" t="s">
        <v>84</v>
      </c>
      <c r="K3" s="3" t="s">
        <v>71</v>
      </c>
      <c r="L3" s="3" t="s">
        <v>48</v>
      </c>
    </row>
    <row r="4" spans="1:12" x14ac:dyDescent="0.3">
      <c r="A4" s="4" t="s">
        <v>21</v>
      </c>
      <c r="B4" s="2">
        <v>1001</v>
      </c>
      <c r="C4" s="5">
        <v>45544</v>
      </c>
      <c r="D4" s="5">
        <v>45854</v>
      </c>
      <c r="E4" s="2" t="s">
        <v>41</v>
      </c>
      <c r="F4" s="2" t="s">
        <v>47</v>
      </c>
      <c r="G4" s="5">
        <v>44360</v>
      </c>
      <c r="H4" s="2">
        <v>869.09</v>
      </c>
      <c r="I4" s="2" t="s">
        <v>48</v>
      </c>
      <c r="J4" s="2" t="s">
        <v>70</v>
      </c>
      <c r="K4" s="2" t="s">
        <v>71</v>
      </c>
      <c r="L4" s="2" t="s">
        <v>35</v>
      </c>
    </row>
    <row r="5" spans="1:12" x14ac:dyDescent="0.3">
      <c r="A5" s="6" t="s">
        <v>21</v>
      </c>
      <c r="B5" s="3">
        <v>1001</v>
      </c>
      <c r="C5" s="7">
        <v>45880</v>
      </c>
      <c r="D5" s="7"/>
      <c r="E5" s="3" t="s">
        <v>41</v>
      </c>
      <c r="F5" s="3" t="s">
        <v>47</v>
      </c>
      <c r="G5" s="7">
        <v>44360</v>
      </c>
      <c r="H5" s="3">
        <v>869.09</v>
      </c>
      <c r="I5" s="3" t="s">
        <v>48</v>
      </c>
      <c r="J5" s="3" t="s">
        <v>70</v>
      </c>
      <c r="K5" s="3" t="s">
        <v>71</v>
      </c>
      <c r="L5" s="3" t="s">
        <v>35</v>
      </c>
    </row>
    <row r="6" spans="1:12" x14ac:dyDescent="0.3">
      <c r="A6" s="4" t="s">
        <v>14</v>
      </c>
      <c r="B6" s="2">
        <v>1002</v>
      </c>
      <c r="C6" s="5">
        <v>45921</v>
      </c>
      <c r="D6" s="5">
        <v>45934</v>
      </c>
      <c r="E6" s="2" t="s">
        <v>41</v>
      </c>
      <c r="F6" s="2" t="s">
        <v>47</v>
      </c>
      <c r="G6" s="5">
        <v>44337</v>
      </c>
      <c r="H6" s="2">
        <v>1553.15</v>
      </c>
      <c r="I6" s="2" t="s">
        <v>48</v>
      </c>
      <c r="J6" s="2" t="s">
        <v>72</v>
      </c>
      <c r="K6" s="2" t="s">
        <v>71</v>
      </c>
      <c r="L6" s="2" t="s">
        <v>35</v>
      </c>
    </row>
    <row r="7" spans="1:12" x14ac:dyDescent="0.3">
      <c r="A7" s="6" t="s">
        <v>18</v>
      </c>
      <c r="B7" s="3">
        <v>1004</v>
      </c>
      <c r="C7" s="7">
        <v>45320</v>
      </c>
      <c r="D7" s="7"/>
      <c r="E7" s="3" t="s">
        <v>41</v>
      </c>
      <c r="F7" s="3" t="s">
        <v>65</v>
      </c>
      <c r="G7" s="7">
        <v>45775</v>
      </c>
      <c r="H7" s="3">
        <v>1095.6199999999999</v>
      </c>
      <c r="I7" s="3" t="s">
        <v>38</v>
      </c>
      <c r="J7" s="3" t="s">
        <v>75</v>
      </c>
      <c r="K7" s="3" t="s">
        <v>76</v>
      </c>
      <c r="L7" s="3" t="s">
        <v>48</v>
      </c>
    </row>
    <row r="8" spans="1:12" x14ac:dyDescent="0.3">
      <c r="A8" s="4" t="s">
        <v>18</v>
      </c>
      <c r="B8" s="2">
        <v>1004</v>
      </c>
      <c r="C8" s="5">
        <v>45336</v>
      </c>
      <c r="D8" s="5"/>
      <c r="E8" s="2" t="s">
        <v>41</v>
      </c>
      <c r="F8" s="2" t="s">
        <v>65</v>
      </c>
      <c r="G8" s="5">
        <v>45775</v>
      </c>
      <c r="H8" s="2">
        <v>1095.6199999999999</v>
      </c>
      <c r="I8" s="2" t="s">
        <v>38</v>
      </c>
      <c r="J8" s="2" t="s">
        <v>75</v>
      </c>
      <c r="K8" s="2" t="s">
        <v>76</v>
      </c>
      <c r="L8" s="2" t="s">
        <v>48</v>
      </c>
    </row>
    <row r="9" spans="1:12" x14ac:dyDescent="0.3">
      <c r="A9" s="6" t="s">
        <v>24</v>
      </c>
      <c r="B9" s="3">
        <v>1003</v>
      </c>
      <c r="C9" s="7">
        <v>45508</v>
      </c>
      <c r="D9" s="7">
        <v>45871</v>
      </c>
      <c r="E9" s="3" t="s">
        <v>41</v>
      </c>
      <c r="F9" s="3" t="s">
        <v>47</v>
      </c>
      <c r="G9" s="7">
        <v>44876</v>
      </c>
      <c r="H9" s="3">
        <v>1801.36</v>
      </c>
      <c r="I9" s="3" t="s">
        <v>38</v>
      </c>
      <c r="J9" s="3" t="s">
        <v>73</v>
      </c>
      <c r="K9" s="3" t="s">
        <v>74</v>
      </c>
      <c r="L9" s="3" t="s">
        <v>48</v>
      </c>
    </row>
    <row r="10" spans="1:12" x14ac:dyDescent="0.3">
      <c r="A10" s="4" t="s">
        <v>25</v>
      </c>
      <c r="B10" s="2">
        <v>1001</v>
      </c>
      <c r="C10" s="5">
        <v>45622</v>
      </c>
      <c r="D10" s="5">
        <v>45719</v>
      </c>
      <c r="E10" s="2" t="s">
        <v>41</v>
      </c>
      <c r="F10" s="2" t="s">
        <v>47</v>
      </c>
      <c r="G10" s="5">
        <v>44258</v>
      </c>
      <c r="H10" s="2">
        <v>1415.97</v>
      </c>
      <c r="I10" s="2" t="s">
        <v>48</v>
      </c>
      <c r="J10" s="2" t="s">
        <v>70</v>
      </c>
      <c r="K10" s="2" t="s">
        <v>71</v>
      </c>
      <c r="L10" s="2" t="s">
        <v>35</v>
      </c>
    </row>
    <row r="11" spans="1:12" x14ac:dyDescent="0.3">
      <c r="A11" s="6" t="s">
        <v>22</v>
      </c>
      <c r="B11" s="3">
        <v>1001</v>
      </c>
      <c r="C11" s="7">
        <v>45880</v>
      </c>
      <c r="D11" s="7">
        <v>45881</v>
      </c>
      <c r="E11" s="3" t="s">
        <v>41</v>
      </c>
      <c r="F11" s="3" t="s">
        <v>42</v>
      </c>
      <c r="G11" s="7">
        <v>45782</v>
      </c>
      <c r="H11" s="3">
        <v>1007.88</v>
      </c>
      <c r="I11" s="3" t="s">
        <v>38</v>
      </c>
      <c r="J11" s="3" t="s">
        <v>70</v>
      </c>
      <c r="K11" s="3" t="s">
        <v>71</v>
      </c>
      <c r="L11" s="3" t="s">
        <v>35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846EA4-C631-464F-A83F-BF2D0E381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Ausreihen</vt:lpstr>
      <vt:lpstr>Geräte</vt:lpstr>
      <vt:lpstr>Mitarbeiter</vt:lpstr>
      <vt:lpstr>PivotTable</vt:lpstr>
      <vt:lpstr>Sheet2</vt:lpstr>
      <vt:lpstr>Gesamttabelle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Tiancheng Wang</dc:creator>
  <cp:lastModifiedBy>Tiancheng Wang</cp:lastModifiedBy>
  <dcterms:created xsi:type="dcterms:W3CDTF">2025-11-08T11:58:05Z</dcterms:created>
  <dcterms:modified xsi:type="dcterms:W3CDTF">2025-11-08T14:35:42Z</dcterms:modified>
</cp:coreProperties>
</file>